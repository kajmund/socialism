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8483084c2f4e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versikt" sheetId="1" r:id="R1cb7fde44fb84340"/>
    <x:sheet xmlns:r="http://schemas.openxmlformats.org/officeDocument/2006/relationships" name="200 frågor" sheetId="2" r:id="R335c9786e7eb4bd2"/>
    <x:sheet xmlns:r="http://schemas.openxmlformats.org/officeDocument/2006/relationships" name="Bedömningsmall" sheetId="3" r:id="R480ab8eb4aff4f13"/>
    <x:sheet xmlns:r="http://schemas.openxmlformats.org/officeDocument/2006/relationships" name="Körningslogg" sheetId="4" r:id="Rd32de0545f1541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236C7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442b5f01f44858" /><Relationship Type="http://schemas.openxmlformats.org/officeDocument/2006/relationships/theme" Target="/xl/theme/theme1.xml" Id="R48eb4d45cdb64093" /><Relationship Type="http://schemas.openxmlformats.org/officeDocument/2006/relationships/sharedStrings" Target="/xl/sharedStrings.xml" Id="R28361b7fa44741dd" /><Relationship Type="http://schemas.openxmlformats.org/officeDocument/2006/relationships/worksheet" Target="/xl/worksheets/sheet1.xml" Id="R1cb7fde44fb84340" /><Relationship Type="http://schemas.openxmlformats.org/officeDocument/2006/relationships/worksheet" Target="/xl/worksheets/sheet2.xml" Id="R335c9786e7eb4bd2" /><Relationship Type="http://schemas.openxmlformats.org/officeDocument/2006/relationships/worksheet" Target="/xl/worksheets/sheet3.xml" Id="R480ab8eb4aff4f13" /><Relationship Type="http://schemas.openxmlformats.org/officeDocument/2006/relationships/worksheet" Target="/xl/worksheets/sheet4.xml" Id="Rd32de0545f1541fa" /></Relationships>
</file>

<file path=xl/tables/table1.xml><?xml version="1.0" encoding="utf-8"?>
<x:table xmlns:x="http://schemas.openxmlformats.org/spreadsheetml/2006/main" id="1" name="GoldenQuestions200" displayName="GoldenQuestions200" ref="A1:R201" headerRowCount="1" totalsRowCount="0" totalsRowShown="0">
  <x:tableColumns count="18">
    <x:tableColumn id="1" name="ID"/>
    <x:tableColumn id="2" name="Område"/>
    <x:tableColumn id="3" name="Delområde"/>
    <x:tableColumn id="4" name="Golden question"/>
    <x:tableColumn id="5" name="Förväntat underlag"/>
    <x:tableColumn id="6" name="Databehov"/>
    <x:tableColumn id="7" name="Förmåga"/>
    <x:tableColumn id="8" name="Svårighetsgrad"/>
    <x:tableColumn id="9" name="Status"/>
    <x:tableColumn id="10" name="Datatäckning 0–2"/>
    <x:tableColumn id="11" name="Verktygstäckning 0–2"/>
    <x:tableColumn id="12" name="Svarskvalitet 0–4"/>
    <x:tableColumn id="13" name="Källstöd 0–2"/>
    <x:tableColumn id="14" name="Poäng 0–10"/>
    <x:tableColumn id="15" name="Feltyp / blockerare"/>
    <x:tableColumn id="16" name="Källor / evidens"/>
    <x:tableColumn id="17" name="Testversion"/>
    <x:tableColumn id="18" name="Komment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8f8e84961544d8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</x:cols>
  <x:sheetData>
    <x:row r="1" ht="42" customHeight="1">
      <x:c r="A1" s="10" t="str">
        <x:v>SOCIALISM | Golden Questions – VD i SME</x:v>
      </x:c>
      <x:c r="B1" s="10"/>
      <x:c r="C1" s="10"/>
      <x:c r="D1" s="10"/>
      <x:c r="E1" s="10"/>
      <x:c r="F1" s="10"/>
    </x:row>
    <x:row r="3">
      <x:c r="A3" s="15" t="str">
        <x:v>Mätetal</x:v>
      </x:c>
      <x:c r="B3" s="15" t="str">
        <x:v>Resultat</x:v>
      </x:c>
    </x:row>
    <x:row r="4">
      <x:c r="A4" t="str">
        <x:v>Antal frågor</x:v>
      </x:c>
      <x:c r="B4" t="n">
        <x:v>200</x:v>
      </x:c>
    </x:row>
    <x:row r="5">
      <x:c r="A5" t="str">
        <x:v>Testade</x:v>
      </x:c>
      <x:c r="B5" t="n">
        <x:f>COUNTIF('200 frågor'!I2:I201,"&lt;&gt;Ej testad")</x:f>
        <x:v>0</x:v>
      </x:c>
    </x:row>
    <x:row r="6">
      <x:c r="A6" t="str">
        <x:v>Godkända</x:v>
      </x:c>
      <x:c r="B6" t="n">
        <x:f>COUNTIF('200 frågor'!I2:I201,"Godkänd")</x:f>
        <x:v>0</x:v>
      </x:c>
    </x:row>
    <x:row r="7">
      <x:c r="A7" t="str">
        <x:v>Delvis godkända</x:v>
      </x:c>
      <x:c r="B7" t="n">
        <x:f>COUNTIF('200 frågor'!I2:I201,"Delvis")</x:f>
        <x:v>0</x:v>
      </x:c>
    </x:row>
    <x:row r="8">
      <x:c r="A8" t="str">
        <x:v>Underkända eller blockerade</x:v>
      </x:c>
      <x:c r="B8" t="n">
        <x:f>COUNTIF('200 frågor'!I2:I201,"Underkänd")+COUNTIF('200 frågor'!I2:I201,"Blockerad")</x:f>
        <x:v>0</x:v>
      </x:c>
    </x:row>
    <x:row r="9">
      <x:c r="A9" t="str">
        <x:v>Täckt andel av alla 200</x:v>
      </x:c>
      <x:c r="B9" s="12" t="n">
        <x:f>B6/B4</x:f>
        <x:v>0</x:v>
      </x:c>
    </x:row>
    <x:row r="11">
      <x:c r="A11" t="str">
        <x:v>Viktig distinktion</x:v>
      </x:c>
      <x:c r="B11" t="str"/>
    </x:row>
    <x:row r="12">
      <x:c r="A12" t="str">
        <x:v>Testad täckning ≠ kunskapstäckning</x:v>
      </x:c>
      <x:c r="B12" t="str">
        <x:v>Godkänd kräver korrekt och spårbart svar. En fråga kan vara blockerad för att kunddata saknas.</x:v>
      </x:c>
    </x:row>
    <x:row r="14">
      <x:c r="A14" s="15" t="str">
        <x:v>Poängdimension</x:v>
      </x:c>
      <x:c r="B14" s="15" t="str">
        <x:v>Max</x:v>
      </x:c>
    </x:row>
    <x:row r="15">
      <x:c r="A15" t="str">
        <x:v>Datatäckning</x:v>
      </x:c>
      <x:c r="B15" t="n">
        <x:v>2</x:v>
      </x:c>
    </x:row>
    <x:row r="16">
      <x:c r="A16" t="str">
        <x:v>Verktygstäckning</x:v>
      </x:c>
      <x:c r="B16" t="n">
        <x:v>2</x:v>
      </x:c>
    </x:row>
    <x:row r="17">
      <x:c r="A17" t="str">
        <x:v>Svarskvalitet</x:v>
      </x:c>
      <x:c r="B17" t="n">
        <x:v>4</x:v>
      </x:c>
    </x:row>
    <x:row r="18">
      <x:c r="A18" t="str">
        <x:v>Källstöd</x:v>
      </x:c>
      <x:c r="B18" t="n">
        <x:v>2</x:v>
      </x:c>
    </x:row>
    <x:row r="19">
      <x:c r="A19" t="str">
        <x:v>SUMMA</x:v>
      </x:c>
      <x:c r="B19" t="n">
        <x:v>10</x:v>
      </x:c>
    </x:row>
    <x:row r="20">
      <x:c r="A20" t="str">
        <x:v>Rekommenderad godkändgräns</x:v>
      </x:c>
      <x:c r="B20" t="n">
        <x:v>8</x:v>
      </x:c>
    </x:row>
    <x:row r="22">
      <x:c r="A22" t="str">
        <x:v>Arbetsprocess</x:v>
      </x:c>
      <x:c r="B22" t="str"/>
    </x:row>
    <x:row r="23">
      <x:c r="A23" t="str">
        <x:v>1. Frys frågorna</x:v>
      </x:c>
      <x:c r="B23" t="str">
        <x:v>Ändra inte testformuleringen mellan systemversioner.</x:v>
      </x:c>
    </x:row>
    <x:row r="24">
      <x:c r="A24" t="str">
        <x:v>2. Koppla till syntetiskt SME</x:v>
      </x:c>
      <x:c r="B24" t="str">
        <x:v>Ge företagsdata, avtal, ekonomirapporter, HR och CRM med känt facit.</x:v>
      </x:c>
    </x:row>
    <x:row r="25">
      <x:c r="A25" t="str">
        <x:v>3. Kör och utvärdera</x:v>
      </x:c>
      <x:c r="B25" t="str">
        <x:v>Registrera poäng, feltyp, källor och version. Avsätt en blind holdout.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30" hidden="0" customWidth="1"/>
    <x:col min="4" max="4" width="72" hidden="0" customWidth="1"/>
    <x:col min="5" max="5" width="36" hidden="0" customWidth="1"/>
    <x:col min="6" max="6" width="19" hidden="0" customWidth="1"/>
    <x:col min="7" max="7" width="32" hidden="0" customWidth="1"/>
    <x:col min="8" max="8" width="18" hidden="0" customWidth="1"/>
    <x:col min="9" max="9" width="17" hidden="0" customWidth="1"/>
    <x:col min="10" max="10" width="20" hidden="0" customWidth="1"/>
    <x:col min="11" max="11" width="22" hidden="0" customWidth="1"/>
    <x:col min="12" max="12" width="21" hidden="0" customWidth="1"/>
    <x:col min="13" max="13" width="17" hidden="0" customWidth="1"/>
    <x:col min="14" max="14" width="17" hidden="0" customWidth="1"/>
    <x:col min="15" max="15" width="34" hidden="0" customWidth="1"/>
    <x:col min="16" max="16" width="38" hidden="0" customWidth="1"/>
    <x:col min="17" max="17" width="18" hidden="0" customWidth="1"/>
    <x:col min="18" max="18" width="34" hidden="0" customWidth="1"/>
  </x:cols>
  <x:sheetData>
    <x:row r="1" ht="30" customHeight="1">
      <x:c r="A1" s="4" t="str">
        <x:v>ID</x:v>
      </x:c>
      <x:c r="B1" s="4" t="str">
        <x:v>Område</x:v>
      </x:c>
      <x:c r="C1" s="4" t="str">
        <x:v>Delområde</x:v>
      </x:c>
      <x:c r="D1" s="4" t="str">
        <x:v>Golden question</x:v>
      </x:c>
      <x:c r="E1" s="4" t="str">
        <x:v>Förväntat underlag</x:v>
      </x:c>
      <x:c r="F1" s="4" t="str">
        <x:v>Databehov</x:v>
      </x:c>
      <x:c r="G1" s="4" t="str">
        <x:v>Förmåga</x:v>
      </x:c>
      <x:c r="H1" s="4" t="str">
        <x:v>Svårighetsgrad</x:v>
      </x:c>
      <x:c r="I1" s="4" t="str">
        <x:v>Status</x:v>
      </x:c>
      <x:c r="J1" s="4" t="str">
        <x:v>Datatäckning 0–2</x:v>
      </x:c>
      <x:c r="K1" s="4" t="str">
        <x:v>Verktygstäckning 0–2</x:v>
      </x:c>
      <x:c r="L1" s="4" t="str">
        <x:v>Svarskvalitet 0–4</x:v>
      </x:c>
      <x:c r="M1" s="4" t="str">
        <x:v>Källstöd 0–2</x:v>
      </x:c>
      <x:c r="N1" s="4" t="str">
        <x:v>Poäng 0–10</x:v>
      </x:c>
      <x:c r="O1" s="4" t="str">
        <x:v>Feltyp / blockerare</x:v>
      </x:c>
      <x:c r="P1" s="4" t="str">
        <x:v>Källor / evidens</x:v>
      </x:c>
      <x:c r="Q1" s="4" t="str">
        <x:v>Testversion</x:v>
      </x:c>
      <x:c r="R1" s="4" t="str">
        <x:v>Kommentar</x:v>
      </x:c>
    </x:row>
    <x:row r="2">
      <x:c r="A2" t="str">
        <x:v>GQ-001</x:v>
      </x:c>
      <x:c r="B2" t="str">
        <x:v>Ekonomi</x:v>
      </x:c>
      <x:c r="C2" t="str">
        <x:v>Likviditet och kassaflöde</x:v>
      </x:c>
      <x:c r="D2" s="8" t="str">
        <x:v>Hur mycket pengar har vi tillgängligt på våra bankkonton just nu?</x:v>
      </x:c>
      <x:c r="E2" t="str">
        <x:v>Intern finansiell data</x:v>
      </x:c>
      <x:c r="F2" t="str">
        <x:v>Intern</x:v>
      </x:c>
      <x:c r="G2" t="str">
        <x:v>Beräkning + data</x:v>
      </x:c>
      <x:c r="H2" t="str">
        <x:v>Enkel</x:v>
      </x:c>
      <x:c r="I2" t="str">
        <x:v>Ej testad</x:v>
      </x:c>
      <x:c r="J2"/>
      <x:c r="K2"/>
      <x:c r="L2"/>
      <x:c r="M2"/>
      <x:c r="N2" t="str">
        <x:f>IF(COUNT(J2:M2)=0,"",SUM(J2:M2))</x:f>
      </x:c>
      <x:c r="O2" t="str"/>
      <x:c r="P2" t="str"/>
      <x:c r="Q2" t="str"/>
      <x:c r="R2" t="str"/>
    </x:row>
    <x:row r="3">
      <x:c r="A3" t="str">
        <x:v>GQ-002</x:v>
      </x:c>
      <x:c r="B3" t="str">
        <x:v>Ekonomi</x:v>
      </x:c>
      <x:c r="C3" t="str">
        <x:v>Likviditet och kassaflöde</x:v>
      </x:c>
      <x:c r="D3" s="8" t="str">
        <x:v>Hur länge klarar vi verksamheten om intäkterna sjunker med 20 procent?</x:v>
      </x:c>
      <x:c r="E3" t="str">
        <x:v>Intern finansiell data</x:v>
      </x:c>
      <x:c r="F3" t="str">
        <x:v>Intern</x:v>
      </x:c>
      <x:c r="G3" t="str">
        <x:v>Beräkning + data</x:v>
      </x:c>
      <x:c r="H3" t="str">
        <x:v>Enkel</x:v>
      </x:c>
      <x:c r="I3" t="str">
        <x:v>Ej testad</x:v>
      </x:c>
      <x:c r="J3"/>
      <x:c r="K3"/>
      <x:c r="L3"/>
      <x:c r="M3"/>
      <x:c r="N3" t="str">
        <x:f>IF(COUNT(J3:M3)=0,"",SUM(J3:M3))</x:f>
      </x:c>
      <x:c r="O3" t="str"/>
      <x:c r="P3" t="str"/>
      <x:c r="Q3" t="str"/>
      <x:c r="R3" t="str"/>
    </x:row>
    <x:row r="4">
      <x:c r="A4" t="str">
        <x:v>GQ-003</x:v>
      </x:c>
      <x:c r="B4" t="str">
        <x:v>Ekonomi</x:v>
      </x:c>
      <x:c r="C4" t="str">
        <x:v>Likviditet och kassaflöde</x:v>
      </x:c>
      <x:c r="D4" s="8" t="str">
        <x:v>Vilka fakturor behöver betalas de närmaste 30 dagarna?</x:v>
      </x:c>
      <x:c r="E4" t="str">
        <x:v>Intern finansiell data</x:v>
      </x:c>
      <x:c r="F4" t="str">
        <x:v>Intern</x:v>
      </x:c>
      <x:c r="G4" t="str">
        <x:v>Beräkning + data</x:v>
      </x:c>
      <x:c r="H4" t="str">
        <x:v>Enkel</x:v>
      </x:c>
      <x:c r="I4" t="str">
        <x:v>Ej testad</x:v>
      </x:c>
      <x:c r="J4"/>
      <x:c r="K4"/>
      <x:c r="L4"/>
      <x:c r="M4"/>
      <x:c r="N4" t="str">
        <x:f>IF(COUNT(J4:M4)=0,"",SUM(J4:M4))</x:f>
      </x:c>
      <x:c r="O4" t="str"/>
      <x:c r="P4" t="str"/>
      <x:c r="Q4" t="str"/>
      <x:c r="R4" t="str"/>
    </x:row>
    <x:row r="5">
      <x:c r="A5" t="str">
        <x:v>GQ-004</x:v>
      </x:c>
      <x:c r="B5" t="str">
        <x:v>Ekonomi</x:v>
      </x:c>
      <x:c r="C5" t="str">
        <x:v>Likviditet och kassaflöde</x:v>
      </x:c>
      <x:c r="D5" s="8" t="str">
        <x:v>Vilka kunder har förfallna fakturor och hur stora är beloppen?</x:v>
      </x:c>
      <x:c r="E5" t="str">
        <x:v>Intern finansiell data</x:v>
      </x:c>
      <x:c r="F5" t="str">
        <x:v>Intern</x:v>
      </x:c>
      <x:c r="G5" t="str">
        <x:v>Beräkning + data</x:v>
      </x:c>
      <x:c r="H5" t="str">
        <x:v>Medel</x:v>
      </x:c>
      <x:c r="I5" t="str">
        <x:v>Ej testad</x:v>
      </x:c>
      <x:c r="J5"/>
      <x:c r="K5"/>
      <x:c r="L5"/>
      <x:c r="M5"/>
      <x:c r="N5" t="str">
        <x:f>IF(COUNT(J5:M5)=0,"",SUM(J5:M5))</x:f>
      </x:c>
      <x:c r="O5" t="str"/>
      <x:c r="P5" t="str"/>
      <x:c r="Q5" t="str"/>
      <x:c r="R5" t="str"/>
    </x:row>
    <x:row r="6">
      <x:c r="A6" t="str">
        <x:v>GQ-005</x:v>
      </x:c>
      <x:c r="B6" t="str">
        <x:v>Ekonomi</x:v>
      </x:c>
      <x:c r="C6" t="str">
        <x:v>Likviditet och kassaflöde</x:v>
      </x:c>
      <x:c r="D6" s="8" t="str">
        <x:v>När under nästa kvartal är vår likviditet som mest ansträngd?</x:v>
      </x:c>
      <x:c r="E6" t="str">
        <x:v>Intern finansiell data</x:v>
      </x:c>
      <x:c r="F6" t="str">
        <x:v>Intern</x:v>
      </x:c>
      <x:c r="G6" t="str">
        <x:v>Beräkning + data</x:v>
      </x:c>
      <x:c r="H6" t="str">
        <x:v>Medel</x:v>
      </x:c>
      <x:c r="I6" t="str">
        <x:v>Ej testad</x:v>
      </x:c>
      <x:c r="J6"/>
      <x:c r="K6"/>
      <x:c r="L6"/>
      <x:c r="M6"/>
      <x:c r="N6" t="str">
        <x:f>IF(COUNT(J6:M6)=0,"",SUM(J6:M6))</x:f>
      </x:c>
      <x:c r="O6" t="str"/>
      <x:c r="P6" t="str"/>
      <x:c r="Q6" t="str"/>
      <x:c r="R6" t="str"/>
    </x:row>
    <x:row r="7">
      <x:c r="A7" t="str">
        <x:v>GQ-006</x:v>
      </x:c>
      <x:c r="B7" t="str">
        <x:v>Ekonomi</x:v>
      </x:c>
      <x:c r="C7" t="str">
        <x:v>Likviditet och kassaflöde</x:v>
      </x:c>
      <x:c r="D7" s="8" t="str">
        <x:v>Hur påverkas kassaflödet om vår största kund betalar 30 dagar sent?</x:v>
      </x:c>
      <x:c r="E7" t="str">
        <x:v>Intern finansiell data</x:v>
      </x:c>
      <x:c r="F7" t="str">
        <x:v>Intern</x:v>
      </x:c>
      <x:c r="G7" t="str">
        <x:v>Beräkning + data</x:v>
      </x:c>
      <x:c r="H7" t="str">
        <x:v>Medel</x:v>
      </x:c>
      <x:c r="I7" t="str">
        <x:v>Ej testad</x:v>
      </x:c>
      <x:c r="J7"/>
      <x:c r="K7"/>
      <x:c r="L7"/>
      <x:c r="M7"/>
      <x:c r="N7" t="str">
        <x:f>IF(COUNT(J7:M7)=0,"",SUM(J7:M7))</x:f>
      </x:c>
      <x:c r="O7" t="str"/>
      <x:c r="P7" t="str"/>
      <x:c r="Q7" t="str"/>
      <x:c r="R7" t="str"/>
    </x:row>
    <x:row r="8">
      <x:c r="A8" t="str">
        <x:v>GQ-007</x:v>
      </x:c>
      <x:c r="B8" t="str">
        <x:v>Ekonomi</x:v>
      </x:c>
      <x:c r="C8" t="str">
        <x:v>Likviditet och kassaflöde</x:v>
      </x:c>
      <x:c r="D8" s="8" t="str">
        <x:v>Vilka planerade utgifter kan vi skjuta upp utan att äventyra leveranser?</x:v>
      </x:c>
      <x:c r="E8" t="str">
        <x:v>Intern finansiell data</x:v>
      </x:c>
      <x:c r="F8" t="str">
        <x:v>Intern</x:v>
      </x:c>
      <x:c r="G8" t="str">
        <x:v>Beräkning + data</x:v>
      </x:c>
      <x:c r="H8" t="str">
        <x:v>Medel</x:v>
      </x:c>
      <x:c r="I8" t="str">
        <x:v>Ej testad</x:v>
      </x:c>
      <x:c r="J8"/>
      <x:c r="K8"/>
      <x:c r="L8"/>
      <x:c r="M8"/>
      <x:c r="N8" t="str">
        <x:f>IF(COUNT(J8:M8)=0,"",SUM(J8:M8))</x:f>
      </x:c>
      <x:c r="O8" t="str"/>
      <x:c r="P8" t="str"/>
      <x:c r="Q8" t="str"/>
      <x:c r="R8" t="str"/>
    </x:row>
    <x:row r="9">
      <x:c r="A9" t="str">
        <x:v>GQ-008</x:v>
      </x:c>
      <x:c r="B9" t="str">
        <x:v>Ekonomi</x:v>
      </x:c>
      <x:c r="C9" t="str">
        <x:v>Likviditet och kassaflöde</x:v>
      </x:c>
      <x:c r="D9" s="8" t="str">
        <x:v>Hur stort rörelsekapital binder vi i kundfordringar och lager?</x:v>
      </x:c>
      <x:c r="E9" t="str">
        <x:v>Intern finansiell data</x:v>
      </x:c>
      <x:c r="F9" t="str">
        <x:v>Intern</x:v>
      </x:c>
      <x:c r="G9" t="str">
        <x:v>Beräkning + data</x:v>
      </x:c>
      <x:c r="H9" t="str">
        <x:v>Medel</x:v>
      </x:c>
      <x:c r="I9" t="str">
        <x:v>Ej testad</x:v>
      </x:c>
      <x:c r="J9"/>
      <x:c r="K9"/>
      <x:c r="L9"/>
      <x:c r="M9"/>
      <x:c r="N9" t="str">
        <x:f>IF(COUNT(J9:M9)=0,"",SUM(J9:M9))</x:f>
      </x:c>
      <x:c r="O9" t="str"/>
      <x:c r="P9" t="str"/>
      <x:c r="Q9" t="str"/>
      <x:c r="R9" t="str"/>
    </x:row>
    <x:row r="10">
      <x:c r="A10" t="str">
        <x:v>GQ-009</x:v>
      </x:c>
      <x:c r="B10" t="str">
        <x:v>Ekonomi</x:v>
      </x:c>
      <x:c r="C10" t="str">
        <x:v>Likviditet och kassaflöde</x:v>
      </x:c>
      <x:c r="D10" s="8" t="str">
        <x:v>Kan vi finansiera två nyanställningar utan att ta in kapital?</x:v>
      </x:c>
      <x:c r="E10" t="str">
        <x:v>Intern finansiell data</x:v>
      </x:c>
      <x:c r="F10" t="str">
        <x:v>Intern</x:v>
      </x:c>
      <x:c r="G10" t="str">
        <x:v>Beräkning + data</x:v>
      </x:c>
      <x:c r="H10" t="str">
        <x:v>Medel</x:v>
      </x:c>
      <x:c r="I10" t="str">
        <x:v>Ej testad</x:v>
      </x:c>
      <x:c r="J10"/>
      <x:c r="K10"/>
      <x:c r="L10"/>
      <x:c r="M10"/>
      <x:c r="N10" t="str">
        <x:f>IF(COUNT(J10:M10)=0,"",SUM(J10:M10))</x:f>
      </x:c>
      <x:c r="O10" t="str"/>
      <x:c r="P10" t="str"/>
      <x:c r="Q10" t="str"/>
      <x:c r="R10" t="str"/>
    </x:row>
    <x:row r="11">
      <x:c r="A11" t="str">
        <x:v>GQ-010</x:v>
      </x:c>
      <x:c r="B11" t="str">
        <x:v>Ekonomi</x:v>
      </x:c>
      <x:c r="C11" t="str">
        <x:v>Likviditet och kassaflöde</x:v>
      </x:c>
      <x:c r="D11" s="8" t="str">
        <x:v>Hur mycket likviditetsbuffert bör vi ha utifrån våra verkliga utbetalningar?</x:v>
      </x:c>
      <x:c r="E11" t="str">
        <x:v>Intern finansiell data</x:v>
      </x:c>
      <x:c r="F11" t="str">
        <x:v>Intern</x:v>
      </x:c>
      <x:c r="G11" t="str">
        <x:v>Beräkning + data</x:v>
      </x:c>
      <x:c r="H11" t="str">
        <x:v>Medel</x:v>
      </x:c>
      <x:c r="I11" t="str">
        <x:v>Ej testad</x:v>
      </x:c>
      <x:c r="J11"/>
      <x:c r="K11"/>
      <x:c r="L11"/>
      <x:c r="M11"/>
      <x:c r="N11" t="str">
        <x:f>IF(COUNT(J11:M11)=0,"",SUM(J11:M11))</x:f>
      </x:c>
      <x:c r="O11" t="str"/>
      <x:c r="P11" t="str"/>
      <x:c r="Q11" t="str"/>
      <x:c r="R11" t="str"/>
    </x:row>
    <x:row r="12">
      <x:c r="A12" t="str">
        <x:v>GQ-011</x:v>
      </x:c>
      <x:c r="B12" t="str">
        <x:v>Ekonomi</x:v>
      </x:c>
      <x:c r="C12" t="str">
        <x:v>Lönsamhet och resultat</x:v>
      </x:c>
      <x:c r="D12" s="8" t="str">
        <x:v>Vilka delar av företaget bidrar mest till vårt täckningsbidrag?</x:v>
      </x:c>
      <x:c r="E12" t="str">
        <x:v>Resultatrapport + tidrapport</x:v>
      </x:c>
      <x:c r="F12" t="str">
        <x:v>Intern</x:v>
      </x:c>
      <x:c r="G12" t="str">
        <x:v>Analys + beräkning</x:v>
      </x:c>
      <x:c r="H12" t="str">
        <x:v>Medel</x:v>
      </x:c>
      <x:c r="I12" t="str">
        <x:v>Ej testad</x:v>
      </x:c>
      <x:c r="J12"/>
      <x:c r="K12"/>
      <x:c r="L12"/>
      <x:c r="M12"/>
      <x:c r="N12" t="str">
        <x:f>IF(COUNT(J12:M12)=0,"",SUM(J12:M12))</x:f>
      </x:c>
      <x:c r="O12" t="str"/>
      <x:c r="P12" t="str"/>
      <x:c r="Q12" t="str"/>
      <x:c r="R12" t="str"/>
    </x:row>
    <x:row r="13">
      <x:c r="A13" t="str">
        <x:v>GQ-012</x:v>
      </x:c>
      <x:c r="B13" t="str">
        <x:v>Ekonomi</x:v>
      </x:c>
      <x:c r="C13" t="str">
        <x:v>Lönsamhet och resultat</x:v>
      </x:c>
      <x:c r="D13" s="8" t="str">
        <x:v>Hur har bruttomarginalen utvecklats de senaste tolv månaderna?</x:v>
      </x:c>
      <x:c r="E13" t="str">
        <x:v>Resultatrapport + tidrapport</x:v>
      </x:c>
      <x:c r="F13" t="str">
        <x:v>Intern</x:v>
      </x:c>
      <x:c r="G13" t="str">
        <x:v>Analys + beräkning</x:v>
      </x:c>
      <x:c r="H13" t="str">
        <x:v>Medel</x:v>
      </x:c>
      <x:c r="I13" t="str">
        <x:v>Ej testad</x:v>
      </x:c>
      <x:c r="J13"/>
      <x:c r="K13"/>
      <x:c r="L13"/>
      <x:c r="M13"/>
      <x:c r="N13" t="str">
        <x:f>IF(COUNT(J13:M13)=0,"",SUM(J13:M13))</x:f>
      </x:c>
      <x:c r="O13" t="str"/>
      <x:c r="P13" t="str"/>
      <x:c r="Q13" t="str"/>
      <x:c r="R13" t="str"/>
    </x:row>
    <x:row r="14">
      <x:c r="A14" t="str">
        <x:v>GQ-013</x:v>
      </x:c>
      <x:c r="B14" t="str">
        <x:v>Ekonomi</x:v>
      </x:c>
      <x:c r="C14" t="str">
        <x:v>Lönsamhet och resultat</x:v>
      </x:c>
      <x:c r="D14" s="8" t="str">
        <x:v>Varför avviker resultatet från budget den här månaden?</x:v>
      </x:c>
      <x:c r="E14" t="str">
        <x:v>Resultatrapport + tidrapport</x:v>
      </x:c>
      <x:c r="F14" t="str">
        <x:v>Intern</x:v>
      </x:c>
      <x:c r="G14" t="str">
        <x:v>Analys + beräkning</x:v>
      </x:c>
      <x:c r="H14" t="str">
        <x:v>Medel</x:v>
      </x:c>
      <x:c r="I14" t="str">
        <x:v>Ej testad</x:v>
      </x:c>
      <x:c r="J14"/>
      <x:c r="K14"/>
      <x:c r="L14"/>
      <x:c r="M14"/>
      <x:c r="N14" t="str">
        <x:f>IF(COUNT(J14:M14)=0,"",SUM(J14:M14))</x:f>
      </x:c>
      <x:c r="O14" t="str"/>
      <x:c r="P14" t="str"/>
      <x:c r="Q14" t="str"/>
      <x:c r="R14" t="str"/>
    </x:row>
    <x:row r="15">
      <x:c r="A15" t="str">
        <x:v>GQ-014</x:v>
      </x:c>
      <x:c r="B15" t="str">
        <x:v>Ekonomi</x:v>
      </x:c>
      <x:c r="C15" t="str">
        <x:v>Lönsamhet och resultat</x:v>
      </x:c>
      <x:c r="D15" s="8" t="str">
        <x:v>Vilka kostnader har ökat snabbare än omsättningen?</x:v>
      </x:c>
      <x:c r="E15" t="str">
        <x:v>Resultatrapport + tidrapport</x:v>
      </x:c>
      <x:c r="F15" t="str">
        <x:v>Intern</x:v>
      </x:c>
      <x:c r="G15" t="str">
        <x:v>Analys + beräkning</x:v>
      </x:c>
      <x:c r="H15" t="str">
        <x:v>Medel</x:v>
      </x:c>
      <x:c r="I15" t="str">
        <x:v>Ej testad</x:v>
      </x:c>
      <x:c r="J15"/>
      <x:c r="K15"/>
      <x:c r="L15"/>
      <x:c r="M15"/>
      <x:c r="N15" t="str">
        <x:f>IF(COUNT(J15:M15)=0,"",SUM(J15:M15))</x:f>
      </x:c>
      <x:c r="O15" t="str"/>
      <x:c r="P15" t="str"/>
      <x:c r="Q15" t="str"/>
      <x:c r="R15" t="str"/>
    </x:row>
    <x:row r="16">
      <x:c r="A16" t="str">
        <x:v>GQ-015</x:v>
      </x:c>
      <x:c r="B16" t="str">
        <x:v>Ekonomi</x:v>
      </x:c>
      <x:c r="C16" t="str">
        <x:v>Lönsamhet och resultat</x:v>
      </x:c>
      <x:c r="D16" s="8" t="str">
        <x:v>Vilka uppdrag är lönsamma efter att all faktisk arbetstid räknats in?</x:v>
      </x:c>
      <x:c r="E16" t="str">
        <x:v>Resultatrapport + tidrapport</x:v>
      </x:c>
      <x:c r="F16" t="str">
        <x:v>Intern</x:v>
      </x:c>
      <x:c r="G16" t="str">
        <x:v>Analys + beräkning</x:v>
      </x:c>
      <x:c r="H16" t="str">
        <x:v>Medel</x:v>
      </x:c>
      <x:c r="I16" t="str">
        <x:v>Ej testad</x:v>
      </x:c>
      <x:c r="J16"/>
      <x:c r="K16"/>
      <x:c r="L16"/>
      <x:c r="M16"/>
      <x:c r="N16" t="str">
        <x:f>IF(COUNT(J16:M16)=0,"",SUM(J16:M16))</x:f>
      </x:c>
      <x:c r="O16" t="str"/>
      <x:c r="P16" t="str"/>
      <x:c r="Q16" t="str"/>
      <x:c r="R16" t="str"/>
    </x:row>
    <x:row r="17">
      <x:c r="A17" t="str">
        <x:v>GQ-016</x:v>
      </x:c>
      <x:c r="B17" t="str">
        <x:v>Ekonomi</x:v>
      </x:c>
      <x:c r="C17" t="str">
        <x:v>Lönsamhet och resultat</x:v>
      </x:c>
      <x:c r="D17" s="8" t="str">
        <x:v>Hur stor del av vårt resultat kommer från engångsintäkter?</x:v>
      </x:c>
      <x:c r="E17" t="str">
        <x:v>Resultatrapport + tidrapport</x:v>
      </x:c>
      <x:c r="F17" t="str">
        <x:v>Intern</x:v>
      </x:c>
      <x:c r="G17" t="str">
        <x:v>Analys + beräkning</x:v>
      </x:c>
      <x:c r="H17" t="str">
        <x:v>Medel</x:v>
      </x:c>
      <x:c r="I17" t="str">
        <x:v>Ej testad</x:v>
      </x:c>
      <x:c r="J17"/>
      <x:c r="K17"/>
      <x:c r="L17"/>
      <x:c r="M17"/>
      <x:c r="N17" t="str">
        <x:f>IF(COUNT(J17:M17)=0,"",SUM(J17:M17))</x:f>
      </x:c>
      <x:c r="O17" t="str"/>
      <x:c r="P17" t="str"/>
      <x:c r="Q17" t="str"/>
      <x:c r="R17" t="str"/>
    </x:row>
    <x:row r="18">
      <x:c r="A18" t="str">
        <x:v>GQ-017</x:v>
      </x:c>
      <x:c r="B18" t="str">
        <x:v>Ekonomi</x:v>
      </x:c>
      <x:c r="C18" t="str">
        <x:v>Lönsamhet och resultat</x:v>
      </x:c>
      <x:c r="D18" s="8" t="str">
        <x:v>Vilken omsättning behöver vi för att nå ett rörelseresultat på tio procent?</x:v>
      </x:c>
      <x:c r="E18" t="str">
        <x:v>Resultatrapport + tidrapport</x:v>
      </x:c>
      <x:c r="F18" t="str">
        <x:v>Intern</x:v>
      </x:c>
      <x:c r="G18" t="str">
        <x:v>Analys + beräkning</x:v>
      </x:c>
      <x:c r="H18" t="str">
        <x:v>Medel</x:v>
      </x:c>
      <x:c r="I18" t="str">
        <x:v>Ej testad</x:v>
      </x:c>
      <x:c r="J18"/>
      <x:c r="K18"/>
      <x:c r="L18"/>
      <x:c r="M18"/>
      <x:c r="N18" t="str">
        <x:f>IF(COUNT(J18:M18)=0,"",SUM(J18:M18))</x:f>
      </x:c>
      <x:c r="O18" t="str"/>
      <x:c r="P18" t="str"/>
      <x:c r="Q18" t="str"/>
      <x:c r="R18" t="str"/>
    </x:row>
    <x:row r="19">
      <x:c r="A19" t="str">
        <x:v>GQ-018</x:v>
      </x:c>
      <x:c r="B19" t="str">
        <x:v>Ekonomi</x:v>
      </x:c>
      <x:c r="C19" t="str">
        <x:v>Lönsamhet och resultat</x:v>
      </x:c>
      <x:c r="D19" s="8" t="str">
        <x:v>Vilka abonnemang och återkommande kostnader använder vi knappt?</x:v>
      </x:c>
      <x:c r="E19" t="str">
        <x:v>Resultatrapport + tidrapport</x:v>
      </x:c>
      <x:c r="F19" t="str">
        <x:v>Intern</x:v>
      </x:c>
      <x:c r="G19" t="str">
        <x:v>Analys + beräkning</x:v>
      </x:c>
      <x:c r="H19" t="str">
        <x:v>Medel</x:v>
      </x:c>
      <x:c r="I19" t="str">
        <x:v>Ej testad</x:v>
      </x:c>
      <x:c r="J19"/>
      <x:c r="K19"/>
      <x:c r="L19"/>
      <x:c r="M19"/>
      <x:c r="N19" t="str">
        <x:f>IF(COUNT(J19:M19)=0,"",SUM(J19:M19))</x:f>
      </x:c>
      <x:c r="O19" t="str"/>
      <x:c r="P19" t="str"/>
      <x:c r="Q19" t="str"/>
      <x:c r="R19" t="str"/>
    </x:row>
    <x:row r="20">
      <x:c r="A20" t="str">
        <x:v>GQ-019</x:v>
      </x:c>
      <x:c r="B20" t="str">
        <x:v>Ekonomi</x:v>
      </x:c>
      <x:c r="C20" t="str">
        <x:v>Lönsamhet och resultat</x:v>
      </x:c>
      <x:c r="D20" s="8" t="str">
        <x:v>Hur har vår lönsamhet förändrats per kundsegment?</x:v>
      </x:c>
      <x:c r="E20" t="str">
        <x:v>Resultatrapport + tidrapport</x:v>
      </x:c>
      <x:c r="F20" t="str">
        <x:v>Intern</x:v>
      </x:c>
      <x:c r="G20" t="str">
        <x:v>Analys + beräkning</x:v>
      </x:c>
      <x:c r="H20" t="str">
        <x:v>Medel</x:v>
      </x:c>
      <x:c r="I20" t="str">
        <x:v>Ej testad</x:v>
      </x:c>
      <x:c r="J20"/>
      <x:c r="K20"/>
      <x:c r="L20"/>
      <x:c r="M20"/>
      <x:c r="N20" t="str">
        <x:f>IF(COUNT(J20:M20)=0,"",SUM(J20:M20))</x:f>
      </x:c>
      <x:c r="O20" t="str"/>
      <x:c r="P20" t="str"/>
      <x:c r="Q20" t="str"/>
      <x:c r="R20" t="str"/>
    </x:row>
    <x:row r="21">
      <x:c r="A21" t="str">
        <x:v>GQ-020</x:v>
      </x:c>
      <x:c r="B21" t="str">
        <x:v>Ekonomi</x:v>
      </x:c>
      <x:c r="C21" t="str">
        <x:v>Lönsamhet och resultat</x:v>
      </x:c>
      <x:c r="D21" s="8" t="str">
        <x:v>Vilka tre åtgärder skulle ge störst resultateffekt nästa kvartal?</x:v>
      </x:c>
      <x:c r="E21" t="str">
        <x:v>Resultatrapport + tidrapport</x:v>
      </x:c>
      <x:c r="F21" t="str">
        <x:v>Intern</x:v>
      </x:c>
      <x:c r="G21" t="str">
        <x:v>Analys + beräkning</x:v>
      </x:c>
      <x:c r="H21" t="str">
        <x:v>Medel</x:v>
      </x:c>
      <x:c r="I21" t="str">
        <x:v>Ej testad</x:v>
      </x:c>
      <x:c r="J21"/>
      <x:c r="K21"/>
      <x:c r="L21"/>
      <x:c r="M21"/>
      <x:c r="N21" t="str">
        <x:f>IF(COUNT(J21:M21)=0,"",SUM(J21:M21))</x:f>
      </x:c>
      <x:c r="O21" t="str"/>
      <x:c r="P21" t="str"/>
      <x:c r="Q21" t="str"/>
      <x:c r="R21" t="str"/>
    </x:row>
    <x:row r="22">
      <x:c r="A22" t="str">
        <x:v>GQ-021</x:v>
      </x:c>
      <x:c r="B22" t="str">
        <x:v>Ekonomi</x:v>
      </x:c>
      <x:c r="C22" t="str">
        <x:v>Budget, prognos och finansiering</x:v>
      </x:c>
      <x:c r="D22" s="8" t="str">
        <x:v>Kommer vi att nå årets omsättningsbudget?</x:v>
      </x:c>
      <x:c r="E22" t="str">
        <x:v>Budget + prognoser</x:v>
      </x:c>
      <x:c r="F22" t="str">
        <x:v>Intern</x:v>
      </x:c>
      <x:c r="G22" t="str">
        <x:v>Scenario</x:v>
      </x:c>
      <x:c r="H22" t="str">
        <x:v>Medel</x:v>
      </x:c>
      <x:c r="I22" t="str">
        <x:v>Ej testad</x:v>
      </x:c>
      <x:c r="J22"/>
      <x:c r="K22"/>
      <x:c r="L22"/>
      <x:c r="M22"/>
      <x:c r="N22" t="str">
        <x:f>IF(COUNT(J22:M22)=0,"",SUM(J22:M22))</x:f>
      </x:c>
      <x:c r="O22" t="str"/>
      <x:c r="P22" t="str"/>
      <x:c r="Q22" t="str"/>
      <x:c r="R22" t="str"/>
    </x:row>
    <x:row r="23">
      <x:c r="A23" t="str">
        <x:v>GQ-022</x:v>
      </x:c>
      <x:c r="B23" t="str">
        <x:v>Ekonomi</x:v>
      </x:c>
      <x:c r="C23" t="str">
        <x:v>Budget, prognos och finansiering</x:v>
      </x:c>
      <x:c r="D23" s="8" t="str">
        <x:v>Vad blir helårsresultatet om nuvarande trend fortsätter?</x:v>
      </x:c>
      <x:c r="E23" t="str">
        <x:v>Budget + prognoser</x:v>
      </x:c>
      <x:c r="F23" t="str">
        <x:v>Intern</x:v>
      </x:c>
      <x:c r="G23" t="str">
        <x:v>Scenario</x:v>
      </x:c>
      <x:c r="H23" t="str">
        <x:v>Medel</x:v>
      </x:c>
      <x:c r="I23" t="str">
        <x:v>Ej testad</x:v>
      </x:c>
      <x:c r="J23"/>
      <x:c r="K23"/>
      <x:c r="L23"/>
      <x:c r="M23"/>
      <x:c r="N23" t="str">
        <x:f>IF(COUNT(J23:M23)=0,"",SUM(J23:M23))</x:f>
      </x:c>
      <x:c r="O23" t="str"/>
      <x:c r="P23" t="str"/>
      <x:c r="Q23" t="str"/>
      <x:c r="R23" t="str"/>
    </x:row>
    <x:row r="24">
      <x:c r="A24" t="str">
        <x:v>GQ-023</x:v>
      </x:c>
      <x:c r="B24" t="str">
        <x:v>Ekonomi</x:v>
      </x:c>
      <x:c r="C24" t="str">
        <x:v>Budget, prognos och finansiering</x:v>
      </x:c>
      <x:c r="D24" s="8" t="str">
        <x:v>Hur ser bästa, mest sannolika och sämsta scenariot ut nästa år?</x:v>
      </x:c>
      <x:c r="E24" t="str">
        <x:v>Budget + prognoser</x:v>
      </x:c>
      <x:c r="F24" t="str">
        <x:v>Intern</x:v>
      </x:c>
      <x:c r="G24" t="str">
        <x:v>Scenario</x:v>
      </x:c>
      <x:c r="H24" t="str">
        <x:v>Medel</x:v>
      </x:c>
      <x:c r="I24" t="str">
        <x:v>Ej testad</x:v>
      </x:c>
      <x:c r="J24"/>
      <x:c r="K24"/>
      <x:c r="L24"/>
      <x:c r="M24"/>
      <x:c r="N24" t="str">
        <x:f>IF(COUNT(J24:M24)=0,"",SUM(J24:M24))</x:f>
      </x:c>
      <x:c r="O24" t="str"/>
      <x:c r="P24" t="str"/>
      <x:c r="Q24" t="str"/>
      <x:c r="R24" t="str"/>
    </x:row>
    <x:row r="25">
      <x:c r="A25" t="str">
        <x:v>GQ-024</x:v>
      </x:c>
      <x:c r="B25" t="str">
        <x:v>Ekonomi</x:v>
      </x:c>
      <x:c r="C25" t="str">
        <x:v>Budget, prognos och finansiering</x:v>
      </x:c>
      <x:c r="D25" s="8" t="str">
        <x:v>Hur mycket kapital behöver vi för att öppna ett nytt kontor?</x:v>
      </x:c>
      <x:c r="E25" t="str">
        <x:v>Budget + prognoser</x:v>
      </x:c>
      <x:c r="F25" t="str">
        <x:v>Intern</x:v>
      </x:c>
      <x:c r="G25" t="str">
        <x:v>Scenario</x:v>
      </x:c>
      <x:c r="H25" t="str">
        <x:v>Medel</x:v>
      </x:c>
      <x:c r="I25" t="str">
        <x:v>Ej testad</x:v>
      </x:c>
      <x:c r="J25"/>
      <x:c r="K25"/>
      <x:c r="L25"/>
      <x:c r="M25"/>
      <x:c r="N25" t="str">
        <x:f>IF(COUNT(J25:M25)=0,"",SUM(J25:M25))</x:f>
      </x:c>
      <x:c r="O25" t="str"/>
      <x:c r="P25" t="str"/>
      <x:c r="Q25" t="str"/>
      <x:c r="R25" t="str"/>
    </x:row>
    <x:row r="26">
      <x:c r="A26" t="str">
        <x:v>GQ-025</x:v>
      </x:c>
      <x:c r="B26" t="str">
        <x:v>Ekonomi</x:v>
      </x:c>
      <x:c r="C26" t="str">
        <x:v>Budget, prognos och finansiering</x:v>
      </x:c>
      <x:c r="D26" s="8" t="str">
        <x:v>Är det bättre att leasa eller köpa våra nästa tjänstebilar?</x:v>
      </x:c>
      <x:c r="E26" t="str">
        <x:v>Budget + prognoser</x:v>
      </x:c>
      <x:c r="F26" t="str">
        <x:v>Intern</x:v>
      </x:c>
      <x:c r="G26" t="str">
        <x:v>Scenario</x:v>
      </x:c>
      <x:c r="H26" t="str">
        <x:v>Medel</x:v>
      </x:c>
      <x:c r="I26" t="str">
        <x:v>Ej testad</x:v>
      </x:c>
      <x:c r="J26"/>
      <x:c r="K26"/>
      <x:c r="L26"/>
      <x:c r="M26"/>
      <x:c r="N26" t="str">
        <x:f>IF(COUNT(J26:M26)=0,"",SUM(J26:M26))</x:f>
      </x:c>
      <x:c r="O26" t="str"/>
      <x:c r="P26" t="str"/>
      <x:c r="Q26" t="str"/>
      <x:c r="R26" t="str"/>
    </x:row>
    <x:row r="27">
      <x:c r="A27" t="str">
        <x:v>GQ-026</x:v>
      </x:c>
      <x:c r="B27" t="str">
        <x:v>Ekonomi</x:v>
      </x:c>
      <x:c r="C27" t="str">
        <x:v>Budget, prognos och finansiering</x:v>
      </x:c>
      <x:c r="D27" s="8" t="str">
        <x:v>Hur mycket kan vi investera i produktutveckling i år?</x:v>
      </x:c>
      <x:c r="E27" t="str">
        <x:v>Budget + prognoser</x:v>
      </x:c>
      <x:c r="F27" t="str">
        <x:v>Intern</x:v>
      </x:c>
      <x:c r="G27" t="str">
        <x:v>Scenario</x:v>
      </x:c>
      <x:c r="H27" t="str">
        <x:v>Medel</x:v>
      </x:c>
      <x:c r="I27" t="str">
        <x:v>Ej testad</x:v>
      </x:c>
      <x:c r="J27"/>
      <x:c r="K27"/>
      <x:c r="L27"/>
      <x:c r="M27"/>
      <x:c r="N27" t="str">
        <x:f>IF(COUNT(J27:M27)=0,"",SUM(J27:M27))</x:f>
      </x:c>
      <x:c r="O27" t="str"/>
      <x:c r="P27" t="str"/>
      <x:c r="Q27" t="str"/>
      <x:c r="R27" t="str"/>
    </x:row>
    <x:row r="28">
      <x:c r="A28" t="str">
        <x:v>GQ-027</x:v>
      </x:c>
      <x:c r="B28" t="str">
        <x:v>Ekonomi</x:v>
      </x:c>
      <x:c r="C28" t="str">
        <x:v>Budget, prognos och finansiering</x:v>
      </x:c>
      <x:c r="D28" s="8" t="str">
        <x:v>Hur känslig är budgeten för högre räntor och löner?</x:v>
      </x:c>
      <x:c r="E28" t="str">
        <x:v>Budget + prognoser</x:v>
      </x:c>
      <x:c r="F28" t="str">
        <x:v>Intern</x:v>
      </x:c>
      <x:c r="G28" t="str">
        <x:v>Scenario</x:v>
      </x:c>
      <x:c r="H28" t="str">
        <x:v>Medel</x:v>
      </x:c>
      <x:c r="I28" t="str">
        <x:v>Ej testad</x:v>
      </x:c>
      <x:c r="J28"/>
      <x:c r="K28"/>
      <x:c r="L28"/>
      <x:c r="M28"/>
      <x:c r="N28" t="str">
        <x:f>IF(COUNT(J28:M28)=0,"",SUM(J28:M28))</x:f>
      </x:c>
      <x:c r="O28" t="str"/>
      <x:c r="P28" t="str"/>
      <x:c r="Q28" t="str"/>
      <x:c r="R28" t="str"/>
    </x:row>
    <x:row r="29">
      <x:c r="A29" t="str">
        <x:v>GQ-028</x:v>
      </x:c>
      <x:c r="B29" t="str">
        <x:v>Ekonomi</x:v>
      </x:c>
      <x:c r="C29" t="str">
        <x:v>Budget, prognos och finansiering</x:v>
      </x:c>
      <x:c r="D29" s="8" t="str">
        <x:v>Vilka antaganden i vår prognos är mest osäkra?</x:v>
      </x:c>
      <x:c r="E29" t="str">
        <x:v>Budget + prognoser</x:v>
      </x:c>
      <x:c r="F29" t="str">
        <x:v>Intern</x:v>
      </x:c>
      <x:c r="G29" t="str">
        <x:v>Scenario</x:v>
      </x:c>
      <x:c r="H29" t="str">
        <x:v>Medel</x:v>
      </x:c>
      <x:c r="I29" t="str">
        <x:v>Ej testad</x:v>
      </x:c>
      <x:c r="J29"/>
      <x:c r="K29"/>
      <x:c r="L29"/>
      <x:c r="M29"/>
      <x:c r="N29" t="str">
        <x:f>IF(COUNT(J29:M29)=0,"",SUM(J29:M29))</x:f>
      </x:c>
      <x:c r="O29" t="str"/>
      <x:c r="P29" t="str"/>
      <x:c r="Q29" t="str"/>
      <x:c r="R29" t="str"/>
    </x:row>
    <x:row r="30">
      <x:c r="A30" t="str">
        <x:v>GQ-029</x:v>
      </x:c>
      <x:c r="B30" t="str">
        <x:v>Ekonomi</x:v>
      </x:c>
      <x:c r="C30" t="str">
        <x:v>Budget, prognos och finansiering</x:v>
      </x:c>
      <x:c r="D30" s="8" t="str">
        <x:v>Vilka nyckeltal behöver banken för att bedöma vår kreditvärdighet?</x:v>
      </x:c>
      <x:c r="E30" t="str">
        <x:v>Budget + prognoser</x:v>
      </x:c>
      <x:c r="F30" t="str">
        <x:v>Intern</x:v>
      </x:c>
      <x:c r="G30" t="str">
        <x:v>Scenario</x:v>
      </x:c>
      <x:c r="H30" t="str">
        <x:v>Medel</x:v>
      </x:c>
      <x:c r="I30" t="str">
        <x:v>Ej testad</x:v>
      </x:c>
      <x:c r="J30"/>
      <x:c r="K30"/>
      <x:c r="L30"/>
      <x:c r="M30"/>
      <x:c r="N30" t="str">
        <x:f>IF(COUNT(J30:M30)=0,"",SUM(J30:M30))</x:f>
      </x:c>
      <x:c r="O30" t="str"/>
      <x:c r="P30" t="str"/>
      <x:c r="Q30" t="str"/>
      <x:c r="R30" t="str"/>
    </x:row>
    <x:row r="31">
      <x:c r="A31" t="str">
        <x:v>GQ-030</x:v>
      </x:c>
      <x:c r="B31" t="str">
        <x:v>Ekonomi</x:v>
      </x:c>
      <x:c r="C31" t="str">
        <x:v>Budget, prognos och finansiering</x:v>
      </x:c>
      <x:c r="D31" s="8" t="str">
        <x:v>Hur stor utdelning kan vi överväga utan att försämra kassaflödet?</x:v>
      </x:c>
      <x:c r="E31" t="str">
        <x:v>Budget + prognoser</x:v>
      </x:c>
      <x:c r="F31" t="str">
        <x:v>Intern</x:v>
      </x:c>
      <x:c r="G31" t="str">
        <x:v>Scenario</x:v>
      </x:c>
      <x:c r="H31" t="str">
        <x:v>Medel</x:v>
      </x:c>
      <x:c r="I31" t="str">
        <x:v>Ej testad</x:v>
      </x:c>
      <x:c r="J31"/>
      <x:c r="K31"/>
      <x:c r="L31"/>
      <x:c r="M31"/>
      <x:c r="N31" t="str">
        <x:f>IF(COUNT(J31:M31)=0,"",SUM(J31:M31))</x:f>
      </x:c>
      <x:c r="O31" t="str"/>
      <x:c r="P31" t="str"/>
      <x:c r="Q31" t="str"/>
      <x:c r="R31" t="str"/>
    </x:row>
    <x:row r="32">
      <x:c r="A32" t="str">
        <x:v>GQ-031</x:v>
      </x:c>
      <x:c r="B32" t="str">
        <x:v>Marknad</x:v>
      </x:c>
      <x:c r="C32" t="str">
        <x:v>Försäljning och pipeline</x:v>
      </x:c>
      <x:c r="D32" s="8" t="str">
        <x:v>Hur mycket affärer har vi i vår pipeline just nu?</x:v>
      </x:c>
      <x:c r="E32" t="str">
        <x:v>CRM + offerter</x:v>
      </x:c>
      <x:c r="F32" t="str">
        <x:v>Intern</x:v>
      </x:c>
      <x:c r="G32" t="str">
        <x:v>Filtrering + analys</x:v>
      </x:c>
      <x:c r="H32" t="str">
        <x:v>Enkel</x:v>
      </x:c>
      <x:c r="I32" t="str">
        <x:v>Ej testad</x:v>
      </x:c>
      <x:c r="J32"/>
      <x:c r="K32"/>
      <x:c r="L32"/>
      <x:c r="M32"/>
      <x:c r="N32" t="str">
        <x:f>IF(COUNT(J32:M32)=0,"",SUM(J32:M32))</x:f>
      </x:c>
      <x:c r="O32" t="str"/>
      <x:c r="P32" t="str"/>
      <x:c r="Q32" t="str"/>
      <x:c r="R32" t="str"/>
    </x:row>
    <x:row r="33">
      <x:c r="A33" t="str">
        <x:v>GQ-032</x:v>
      </x:c>
      <x:c r="B33" t="str">
        <x:v>Marknad</x:v>
      </x:c>
      <x:c r="C33" t="str">
        <x:v>Försäljning och pipeline</x:v>
      </x:c>
      <x:c r="D33" s="8" t="str">
        <x:v>Vilka öppna affärer har störst sannolikhet att stängas denna månad?</x:v>
      </x:c>
      <x:c r="E33" t="str">
        <x:v>CRM + offerter</x:v>
      </x:c>
      <x:c r="F33" t="str">
        <x:v>Intern</x:v>
      </x:c>
      <x:c r="G33" t="str">
        <x:v>Filtrering + analys</x:v>
      </x:c>
      <x:c r="H33" t="str">
        <x:v>Enkel</x:v>
      </x:c>
      <x:c r="I33" t="str">
        <x:v>Ej testad</x:v>
      </x:c>
      <x:c r="J33"/>
      <x:c r="K33"/>
      <x:c r="L33"/>
      <x:c r="M33"/>
      <x:c r="N33" t="str">
        <x:f>IF(COUNT(J33:M33)=0,"",SUM(J33:M33))</x:f>
      </x:c>
      <x:c r="O33" t="str"/>
      <x:c r="P33" t="str"/>
      <x:c r="Q33" t="str"/>
      <x:c r="R33" t="str"/>
    </x:row>
    <x:row r="34">
      <x:c r="A34" t="str">
        <x:v>GQ-033</x:v>
      </x:c>
      <x:c r="B34" t="str">
        <x:v>Marknad</x:v>
      </x:c>
      <x:c r="C34" t="str">
        <x:v>Försäljning och pipeline</x:v>
      </x:c>
      <x:c r="D34" s="8" t="str">
        <x:v>Hur lång är vår genomsnittliga säljcykel?</x:v>
      </x:c>
      <x:c r="E34" t="str">
        <x:v>CRM + offerter</x:v>
      </x:c>
      <x:c r="F34" t="str">
        <x:v>Intern</x:v>
      </x:c>
      <x:c r="G34" t="str">
        <x:v>Filtrering + analys</x:v>
      </x:c>
      <x:c r="H34" t="str">
        <x:v>Enkel</x:v>
      </x:c>
      <x:c r="I34" t="str">
        <x:v>Ej testad</x:v>
      </x:c>
      <x:c r="J34"/>
      <x:c r="K34"/>
      <x:c r="L34"/>
      <x:c r="M34"/>
      <x:c r="N34" t="str">
        <x:f>IF(COUNT(J34:M34)=0,"",SUM(J34:M34))</x:f>
      </x:c>
      <x:c r="O34" t="str"/>
      <x:c r="P34" t="str"/>
      <x:c r="Q34" t="str"/>
      <x:c r="R34" t="str"/>
    </x:row>
    <x:row r="35">
      <x:c r="A35" t="str">
        <x:v>GQ-034</x:v>
      </x:c>
      <x:c r="B35" t="str">
        <x:v>Marknad</x:v>
      </x:c>
      <x:c r="C35" t="str">
        <x:v>Försäljning och pipeline</x:v>
      </x:c>
      <x:c r="D35" s="8" t="str">
        <x:v>Var i säljprocessen tappar vi flest potentiella kunder?</x:v>
      </x:c>
      <x:c r="E35" t="str">
        <x:v>CRM + offerter</x:v>
      </x:c>
      <x:c r="F35" t="str">
        <x:v>Intern</x:v>
      </x:c>
      <x:c r="G35" t="str">
        <x:v>Filtrering + analys</x:v>
      </x:c>
      <x:c r="H35" t="str">
        <x:v>Medel</x:v>
      </x:c>
      <x:c r="I35" t="str">
        <x:v>Ej testad</x:v>
      </x:c>
      <x:c r="J35"/>
      <x:c r="K35"/>
      <x:c r="L35"/>
      <x:c r="M35"/>
      <x:c r="N35" t="str">
        <x:f>IF(COUNT(J35:M35)=0,"",SUM(J35:M35))</x:f>
      </x:c>
      <x:c r="O35" t="str"/>
      <x:c r="P35" t="str"/>
      <x:c r="Q35" t="str"/>
      <x:c r="R35" t="str"/>
    </x:row>
    <x:row r="36">
      <x:c r="A36" t="str">
        <x:v>GQ-035</x:v>
      </x:c>
      <x:c r="B36" t="str">
        <x:v>Marknad</x:v>
      </x:c>
      <x:c r="C36" t="str">
        <x:v>Försäljning och pipeline</x:v>
      </x:c>
      <x:c r="D36" s="8" t="str">
        <x:v>Vilka säljare eller kanaler skapar mest lönsamma affärer?</x:v>
      </x:c>
      <x:c r="E36" t="str">
        <x:v>CRM + offerter</x:v>
      </x:c>
      <x:c r="F36" t="str">
        <x:v>Intern</x:v>
      </x:c>
      <x:c r="G36" t="str">
        <x:v>Filtrering + analys</x:v>
      </x:c>
      <x:c r="H36" t="str">
        <x:v>Medel</x:v>
      </x:c>
      <x:c r="I36" t="str">
        <x:v>Ej testad</x:v>
      </x:c>
      <x:c r="J36"/>
      <x:c r="K36"/>
      <x:c r="L36"/>
      <x:c r="M36"/>
      <x:c r="N36" t="str">
        <x:f>IF(COUNT(J36:M36)=0,"",SUM(J36:M36))</x:f>
      </x:c>
      <x:c r="O36" t="str"/>
      <x:c r="P36" t="str"/>
      <x:c r="Q36" t="str"/>
      <x:c r="R36" t="str"/>
    </x:row>
    <x:row r="37">
      <x:c r="A37" t="str">
        <x:v>GQ-036</x:v>
      </x:c>
      <x:c r="B37" t="str">
        <x:v>Marknad</x:v>
      </x:c>
      <x:c r="C37" t="str">
        <x:v>Försäljning och pipeline</x:v>
      </x:c>
      <x:c r="D37" s="8" t="str">
        <x:v>Vilka offerter behöver följas upp den här veckan?</x:v>
      </x:c>
      <x:c r="E37" t="str">
        <x:v>CRM + offerter</x:v>
      </x:c>
      <x:c r="F37" t="str">
        <x:v>Intern</x:v>
      </x:c>
      <x:c r="G37" t="str">
        <x:v>Filtrering + analys</x:v>
      </x:c>
      <x:c r="H37" t="str">
        <x:v>Medel</x:v>
      </x:c>
      <x:c r="I37" t="str">
        <x:v>Ej testad</x:v>
      </x:c>
      <x:c r="J37"/>
      <x:c r="K37"/>
      <x:c r="L37"/>
      <x:c r="M37"/>
      <x:c r="N37" t="str">
        <x:f>IF(COUNT(J37:M37)=0,"",SUM(J37:M37))</x:f>
      </x:c>
      <x:c r="O37" t="str"/>
      <x:c r="P37" t="str"/>
      <x:c r="Q37" t="str"/>
      <x:c r="R37" t="str"/>
    </x:row>
    <x:row r="38">
      <x:c r="A38" t="str">
        <x:v>GQ-037</x:v>
      </x:c>
      <x:c r="B38" t="str">
        <x:v>Marknad</x:v>
      </x:c>
      <x:c r="C38" t="str">
        <x:v>Försäljning och pipeline</x:v>
      </x:c>
      <x:c r="D38" s="8" t="str">
        <x:v>Hur mycket nyförsäljning krävs för att nå nästa kvartals budget?</x:v>
      </x:c>
      <x:c r="E38" t="str">
        <x:v>CRM + offerter</x:v>
      </x:c>
      <x:c r="F38" t="str">
        <x:v>Intern</x:v>
      </x:c>
      <x:c r="G38" t="str">
        <x:v>Filtrering + analys</x:v>
      </x:c>
      <x:c r="H38" t="str">
        <x:v>Medel</x:v>
      </x:c>
      <x:c r="I38" t="str">
        <x:v>Ej testad</x:v>
      </x:c>
      <x:c r="J38"/>
      <x:c r="K38"/>
      <x:c r="L38"/>
      <x:c r="M38"/>
      <x:c r="N38" t="str">
        <x:f>IF(COUNT(J38:M38)=0,"",SUM(J38:M38))</x:f>
      </x:c>
      <x:c r="O38" t="str"/>
      <x:c r="P38" t="str"/>
      <x:c r="Q38" t="str"/>
      <x:c r="R38" t="str"/>
    </x:row>
    <x:row r="39">
      <x:c r="A39" t="str">
        <x:v>GQ-038</x:v>
      </x:c>
      <x:c r="B39" t="str">
        <x:v>Marknad</x:v>
      </x:c>
      <x:c r="C39" t="str">
        <x:v>Försäljning och pipeline</x:v>
      </x:c>
      <x:c r="D39" s="8" t="str">
        <x:v>Vilka affärer har fastnat utan aktivitet den senaste månaden?</x:v>
      </x:c>
      <x:c r="E39" t="str">
        <x:v>CRM + offerter</x:v>
      </x:c>
      <x:c r="F39" t="str">
        <x:v>Intern</x:v>
      </x:c>
      <x:c r="G39" t="str">
        <x:v>Filtrering + analys</x:v>
      </x:c>
      <x:c r="H39" t="str">
        <x:v>Medel</x:v>
      </x:c>
      <x:c r="I39" t="str">
        <x:v>Ej testad</x:v>
      </x:c>
      <x:c r="J39"/>
      <x:c r="K39"/>
      <x:c r="L39"/>
      <x:c r="M39"/>
      <x:c r="N39" t="str">
        <x:f>IF(COUNT(J39:M39)=0,"",SUM(J39:M39))</x:f>
      </x:c>
      <x:c r="O39" t="str"/>
      <x:c r="P39" t="str"/>
      <x:c r="Q39" t="str"/>
      <x:c r="R39" t="str"/>
    </x:row>
    <x:row r="40">
      <x:c r="A40" t="str">
        <x:v>GQ-039</x:v>
      </x:c>
      <x:c r="B40" t="str">
        <x:v>Marknad</x:v>
      </x:c>
      <x:c r="C40" t="str">
        <x:v>Försäljning och pipeline</x:v>
      </x:c>
      <x:c r="D40" s="8" t="str">
        <x:v>Vilka kundbehov återkommer oftast i våra säljsamtal?</x:v>
      </x:c>
      <x:c r="E40" t="str">
        <x:v>CRM + offerter</x:v>
      </x:c>
      <x:c r="F40" t="str">
        <x:v>Intern</x:v>
      </x:c>
      <x:c r="G40" t="str">
        <x:v>Filtrering + analys</x:v>
      </x:c>
      <x:c r="H40" t="str">
        <x:v>Medel</x:v>
      </x:c>
      <x:c r="I40" t="str">
        <x:v>Ej testad</x:v>
      </x:c>
      <x:c r="J40"/>
      <x:c r="K40"/>
      <x:c r="L40"/>
      <x:c r="M40"/>
      <x:c r="N40" t="str">
        <x:f>IF(COUNT(J40:M40)=0,"",SUM(J40:M40))</x:f>
      </x:c>
      <x:c r="O40" t="str"/>
      <x:c r="P40" t="str"/>
      <x:c r="Q40" t="str"/>
      <x:c r="R40" t="str"/>
    </x:row>
    <x:row r="41">
      <x:c r="A41" t="str">
        <x:v>GQ-040</x:v>
      </x:c>
      <x:c r="B41" t="str">
        <x:v>Marknad</x:v>
      </x:c>
      <x:c r="C41" t="str">
        <x:v>Försäljning och pipeline</x:v>
      </x:c>
      <x:c r="D41" s="8" t="str">
        <x:v>Hur skiljer sig vår win rate mellan små och stora affärer?</x:v>
      </x:c>
      <x:c r="E41" t="str">
        <x:v>CRM + offerter</x:v>
      </x:c>
      <x:c r="F41" t="str">
        <x:v>Intern</x:v>
      </x:c>
      <x:c r="G41" t="str">
        <x:v>Filtrering + analys</x:v>
      </x:c>
      <x:c r="H41" t="str">
        <x:v>Medel</x:v>
      </x:c>
      <x:c r="I41" t="str">
        <x:v>Ej testad</x:v>
      </x:c>
      <x:c r="J41"/>
      <x:c r="K41"/>
      <x:c r="L41"/>
      <x:c r="M41"/>
      <x:c r="N41" t="str">
        <x:f>IF(COUNT(J41:M41)=0,"",SUM(J41:M41))</x:f>
      </x:c>
      <x:c r="O41" t="str"/>
      <x:c r="P41" t="str"/>
      <x:c r="Q41" t="str"/>
      <x:c r="R41" t="str"/>
    </x:row>
    <x:row r="42">
      <x:c r="A42" t="str">
        <x:v>GQ-041</x:v>
      </x:c>
      <x:c r="B42" t="str">
        <x:v>Marknad</x:v>
      </x:c>
      <x:c r="C42" t="str">
        <x:v>Kunder och retention</x:v>
      </x:c>
      <x:c r="D42" s="8" t="str">
        <x:v>Vilka är våra tio viktigaste kunder mätt i täckningsbidrag?</x:v>
      </x:c>
      <x:c r="E42" t="str">
        <x:v>CRM + avtal + möten</x:v>
      </x:c>
      <x:c r="F42" t="str">
        <x:v>Intern</x:v>
      </x:c>
      <x:c r="G42" t="str">
        <x:v>Flera källor</x:v>
      </x:c>
      <x:c r="H42" t="str">
        <x:v>Medel</x:v>
      </x:c>
      <x:c r="I42" t="str">
        <x:v>Ej testad</x:v>
      </x:c>
      <x:c r="J42"/>
      <x:c r="K42"/>
      <x:c r="L42"/>
      <x:c r="M42"/>
      <x:c r="N42" t="str">
        <x:f>IF(COUNT(J42:M42)=0,"",SUM(J42:M42))</x:f>
      </x:c>
      <x:c r="O42" t="str"/>
      <x:c r="P42" t="str"/>
      <x:c r="Q42" t="str"/>
      <x:c r="R42" t="str"/>
    </x:row>
    <x:row r="43">
      <x:c r="A43" t="str">
        <x:v>GQ-042</x:v>
      </x:c>
      <x:c r="B43" t="str">
        <x:v>Marknad</x:v>
      </x:c>
      <x:c r="C43" t="str">
        <x:v>Kunder och retention</x:v>
      </x:c>
      <x:c r="D43" s="8" t="str">
        <x:v>Hur beroende är vi av vår största kund?</x:v>
      </x:c>
      <x:c r="E43" t="str">
        <x:v>CRM + avtal + möten</x:v>
      </x:c>
      <x:c r="F43" t="str">
        <x:v>Intern</x:v>
      </x:c>
      <x:c r="G43" t="str">
        <x:v>Flera källor</x:v>
      </x:c>
      <x:c r="H43" t="str">
        <x:v>Medel</x:v>
      </x:c>
      <x:c r="I43" t="str">
        <x:v>Ej testad</x:v>
      </x:c>
      <x:c r="J43"/>
      <x:c r="K43"/>
      <x:c r="L43"/>
      <x:c r="M43"/>
      <x:c r="N43" t="str">
        <x:f>IF(COUNT(J43:M43)=0,"",SUM(J43:M43))</x:f>
      </x:c>
      <x:c r="O43" t="str"/>
      <x:c r="P43" t="str"/>
      <x:c r="Q43" t="str"/>
      <x:c r="R43" t="str"/>
    </x:row>
    <x:row r="44">
      <x:c r="A44" t="str">
        <x:v>GQ-043</x:v>
      </x:c>
      <x:c r="B44" t="str">
        <x:v>Marknad</x:v>
      </x:c>
      <x:c r="C44" t="str">
        <x:v>Kunder och retention</x:v>
      </x:c>
      <x:c r="D44" s="8" t="str">
        <x:v>Vilka kunder har minskat sina köp jämfört med förra året?</x:v>
      </x:c>
      <x:c r="E44" t="str">
        <x:v>CRM + avtal + möten</x:v>
      </x:c>
      <x:c r="F44" t="str">
        <x:v>Intern</x:v>
      </x:c>
      <x:c r="G44" t="str">
        <x:v>Flera källor</x:v>
      </x:c>
      <x:c r="H44" t="str">
        <x:v>Medel</x:v>
      </x:c>
      <x:c r="I44" t="str">
        <x:v>Ej testad</x:v>
      </x:c>
      <x:c r="J44"/>
      <x:c r="K44"/>
      <x:c r="L44"/>
      <x:c r="M44"/>
      <x:c r="N44" t="str">
        <x:f>IF(COUNT(J44:M44)=0,"",SUM(J44:M44))</x:f>
      </x:c>
      <x:c r="O44" t="str"/>
      <x:c r="P44" t="str"/>
      <x:c r="Q44" t="str"/>
      <x:c r="R44" t="str"/>
    </x:row>
    <x:row r="45">
      <x:c r="A45" t="str">
        <x:v>GQ-044</x:v>
      </x:c>
      <x:c r="B45" t="str">
        <x:v>Marknad</x:v>
      </x:c>
      <x:c r="C45" t="str">
        <x:v>Kunder och retention</x:v>
      </x:c>
      <x:c r="D45" s="8" t="str">
        <x:v>Vilka kunder visar tecken på att vilja lämna oss?</x:v>
      </x:c>
      <x:c r="E45" t="str">
        <x:v>CRM + avtal + möten</x:v>
      </x:c>
      <x:c r="F45" t="str">
        <x:v>Intern</x:v>
      </x:c>
      <x:c r="G45" t="str">
        <x:v>Flera källor</x:v>
      </x:c>
      <x:c r="H45" t="str">
        <x:v>Medel</x:v>
      </x:c>
      <x:c r="I45" t="str">
        <x:v>Ej testad</x:v>
      </x:c>
      <x:c r="J45"/>
      <x:c r="K45"/>
      <x:c r="L45"/>
      <x:c r="M45"/>
      <x:c r="N45" t="str">
        <x:f>IF(COUNT(J45:M45)=0,"",SUM(J45:M45))</x:f>
      </x:c>
      <x:c r="O45" t="str"/>
      <x:c r="P45" t="str"/>
      <x:c r="Q45" t="str"/>
      <x:c r="R45" t="str"/>
    </x:row>
    <x:row r="46">
      <x:c r="A46" t="str">
        <x:v>GQ-045</x:v>
      </x:c>
      <x:c r="B46" t="str">
        <x:v>Marknad</x:v>
      </x:c>
      <x:c r="C46" t="str">
        <x:v>Kunder och retention</x:v>
      </x:c>
      <x:c r="D46" s="8" t="str">
        <x:v>När löper våra viktigaste kundavtal ut?</x:v>
      </x:c>
      <x:c r="E46" t="str">
        <x:v>CRM + avtal + möten</x:v>
      </x:c>
      <x:c r="F46" t="str">
        <x:v>Intern</x:v>
      </x:c>
      <x:c r="G46" t="str">
        <x:v>Flera källor</x:v>
      </x:c>
      <x:c r="H46" t="str">
        <x:v>Medel</x:v>
      </x:c>
      <x:c r="I46" t="str">
        <x:v>Ej testad</x:v>
      </x:c>
      <x:c r="J46"/>
      <x:c r="K46"/>
      <x:c r="L46"/>
      <x:c r="M46"/>
      <x:c r="N46" t="str">
        <x:f>IF(COUNT(J46:M46)=0,"",SUM(J46:M46))</x:f>
      </x:c>
      <x:c r="O46" t="str"/>
      <x:c r="P46" t="str"/>
      <x:c r="Q46" t="str"/>
      <x:c r="R46" t="str"/>
    </x:row>
    <x:row r="47">
      <x:c r="A47" t="str">
        <x:v>GQ-046</x:v>
      </x:c>
      <x:c r="B47" t="str">
        <x:v>Marknad</x:v>
      </x:c>
      <x:c r="C47" t="str">
        <x:v>Kunder och retention</x:v>
      </x:c>
      <x:c r="D47" s="8" t="str">
        <x:v>Vilka kunder har klagat flera gånger på samma problem?</x:v>
      </x:c>
      <x:c r="E47" t="str">
        <x:v>CRM + avtal + möten</x:v>
      </x:c>
      <x:c r="F47" t="str">
        <x:v>Intern</x:v>
      </x:c>
      <x:c r="G47" t="str">
        <x:v>Flera källor</x:v>
      </x:c>
      <x:c r="H47" t="str">
        <x:v>Medel</x:v>
      </x:c>
      <x:c r="I47" t="str">
        <x:v>Ej testad</x:v>
      </x:c>
      <x:c r="J47"/>
      <x:c r="K47"/>
      <x:c r="L47"/>
      <x:c r="M47"/>
      <x:c r="N47" t="str">
        <x:f>IF(COUNT(J47:M47)=0,"",SUM(J47:M47))</x:f>
      </x:c>
      <x:c r="O47" t="str"/>
      <x:c r="P47" t="str"/>
      <x:c r="Q47" t="str"/>
      <x:c r="R47" t="str"/>
    </x:row>
    <x:row r="48">
      <x:c r="A48" t="str">
        <x:v>GQ-047</x:v>
      </x:c>
      <x:c r="B48" t="str">
        <x:v>Marknad</x:v>
      </x:c>
      <x:c r="C48" t="str">
        <x:v>Kunder och retention</x:v>
      </x:c>
      <x:c r="D48" s="8" t="str">
        <x:v>Vilka kunder borde vi kontakta proaktivt den här månaden?</x:v>
      </x:c>
      <x:c r="E48" t="str">
        <x:v>CRM + avtal + möten</x:v>
      </x:c>
      <x:c r="F48" t="str">
        <x:v>Intern</x:v>
      </x:c>
      <x:c r="G48" t="str">
        <x:v>Flera källor</x:v>
      </x:c>
      <x:c r="H48" t="str">
        <x:v>Medel</x:v>
      </x:c>
      <x:c r="I48" t="str">
        <x:v>Ej testad</x:v>
      </x:c>
      <x:c r="J48"/>
      <x:c r="K48"/>
      <x:c r="L48"/>
      <x:c r="M48"/>
      <x:c r="N48" t="str">
        <x:f>IF(COUNT(J48:M48)=0,"",SUM(J48:M48))</x:f>
      </x:c>
      <x:c r="O48" t="str"/>
      <x:c r="P48" t="str"/>
      <x:c r="Q48" t="str"/>
      <x:c r="R48" t="str"/>
    </x:row>
    <x:row r="49">
      <x:c r="A49" t="str">
        <x:v>GQ-048</x:v>
      </x:c>
      <x:c r="B49" t="str">
        <x:v>Marknad</x:v>
      </x:c>
      <x:c r="C49" t="str">
        <x:v>Kunder och retention</x:v>
      </x:c>
      <x:c r="D49" s="8" t="str">
        <x:v>Hur mycket återkommande intäkt riskerar vi att förlora kommande halvår?</x:v>
      </x:c>
      <x:c r="E49" t="str">
        <x:v>CRM + avtal + möten</x:v>
      </x:c>
      <x:c r="F49" t="str">
        <x:v>Intern</x:v>
      </x:c>
      <x:c r="G49" t="str">
        <x:v>Flera källor</x:v>
      </x:c>
      <x:c r="H49" t="str">
        <x:v>Medel</x:v>
      </x:c>
      <x:c r="I49" t="str">
        <x:v>Ej testad</x:v>
      </x:c>
      <x:c r="J49"/>
      <x:c r="K49"/>
      <x:c r="L49"/>
      <x:c r="M49"/>
      <x:c r="N49" t="str">
        <x:f>IF(COUNT(J49:M49)=0,"",SUM(J49:M49))</x:f>
      </x:c>
      <x:c r="O49" t="str"/>
      <x:c r="P49" t="str"/>
      <x:c r="Q49" t="str"/>
      <x:c r="R49" t="str"/>
    </x:row>
    <x:row r="50">
      <x:c r="A50" t="str">
        <x:v>GQ-049</x:v>
      </x:c>
      <x:c r="B50" t="str">
        <x:v>Marknad</x:v>
      </x:c>
      <x:c r="C50" t="str">
        <x:v>Kunder och retention</x:v>
      </x:c>
      <x:c r="D50" s="8" t="str">
        <x:v>Vilka kunder är olönsamma när support och leveranskostnader räknas in?</x:v>
      </x:c>
      <x:c r="E50" t="str">
        <x:v>CRM + avtal + möten</x:v>
      </x:c>
      <x:c r="F50" t="str">
        <x:v>Intern</x:v>
      </x:c>
      <x:c r="G50" t="str">
        <x:v>Flera källor</x:v>
      </x:c>
      <x:c r="H50" t="str">
        <x:v>Medel</x:v>
      </x:c>
      <x:c r="I50" t="str">
        <x:v>Ej testad</x:v>
      </x:c>
      <x:c r="J50"/>
      <x:c r="K50"/>
      <x:c r="L50"/>
      <x:c r="M50"/>
      <x:c r="N50" t="str">
        <x:f>IF(COUNT(J50:M50)=0,"",SUM(J50:M50))</x:f>
      </x:c>
      <x:c r="O50" t="str"/>
      <x:c r="P50" t="str"/>
      <x:c r="Q50" t="str"/>
      <x:c r="R50" t="str"/>
    </x:row>
    <x:row r="51">
      <x:c r="A51" t="str">
        <x:v>GQ-050</x:v>
      </x:c>
      <x:c r="B51" t="str">
        <x:v>Marknad</x:v>
      </x:c>
      <x:c r="C51" t="str">
        <x:v>Kunder och retention</x:v>
      </x:c>
      <x:c r="D51" s="8" t="str">
        <x:v>Vad säger våra kundmöten om varför kunder väljer oss?</x:v>
      </x:c>
      <x:c r="E51" t="str">
        <x:v>CRM + avtal + möten</x:v>
      </x:c>
      <x:c r="F51" t="str">
        <x:v>Intern</x:v>
      </x:c>
      <x:c r="G51" t="str">
        <x:v>Flera källor</x:v>
      </x:c>
      <x:c r="H51" t="str">
        <x:v>Medel</x:v>
      </x:c>
      <x:c r="I51" t="str">
        <x:v>Ej testad</x:v>
      </x:c>
      <x:c r="J51"/>
      <x:c r="K51"/>
      <x:c r="L51"/>
      <x:c r="M51"/>
      <x:c r="N51" t="str">
        <x:f>IF(COUNT(J51:M51)=0,"",SUM(J51:M51))</x:f>
      </x:c>
      <x:c r="O51" t="str"/>
      <x:c r="P51" t="str"/>
      <x:c r="Q51" t="str"/>
      <x:c r="R51" t="str"/>
    </x:row>
    <x:row r="52">
      <x:c r="A52" t="str">
        <x:v>GQ-051</x:v>
      </x:c>
      <x:c r="B52" t="str">
        <x:v>Marknad</x:v>
      </x:c>
      <x:c r="C52" t="str">
        <x:v>Prissättning och erbjudande</x:v>
      </x:c>
      <x:c r="D52" s="8" t="str">
        <x:v>Vilka tjänster säljer vi med för låg marginal?</x:v>
      </x:c>
      <x:c r="E52" t="str">
        <x:v>Avtal + försäljningsdata + omvärld</x:v>
      </x:c>
      <x:c r="F52" t="str">
        <x:v>Intern</x:v>
      </x:c>
      <x:c r="G52" t="str">
        <x:v>Jämförelse</x:v>
      </x:c>
      <x:c r="H52" t="str">
        <x:v>Medel</x:v>
      </x:c>
      <x:c r="I52" t="str">
        <x:v>Ej testad</x:v>
      </x:c>
      <x:c r="J52"/>
      <x:c r="K52"/>
      <x:c r="L52"/>
      <x:c r="M52"/>
      <x:c r="N52" t="str">
        <x:f>IF(COUNT(J52:M52)=0,"",SUM(J52:M52))</x:f>
      </x:c>
      <x:c r="O52" t="str"/>
      <x:c r="P52" t="str"/>
      <x:c r="Q52" t="str"/>
      <x:c r="R52" t="str"/>
    </x:row>
    <x:row r="53">
      <x:c r="A53" t="str">
        <x:v>GQ-052</x:v>
      </x:c>
      <x:c r="B53" t="str">
        <x:v>Marknad</x:v>
      </x:c>
      <x:c r="C53" t="str">
        <x:v>Prissättning och erbjudande</x:v>
      </x:c>
      <x:c r="D53" s="8" t="str">
        <x:v>När höjde vi priserna senast för respektive kund?</x:v>
      </x:c>
      <x:c r="E53" t="str">
        <x:v>Avtal + försäljningsdata + omvärld</x:v>
      </x:c>
      <x:c r="F53" t="str">
        <x:v>Intern</x:v>
      </x:c>
      <x:c r="G53" t="str">
        <x:v>Jämförelse</x:v>
      </x:c>
      <x:c r="H53" t="str">
        <x:v>Medel</x:v>
      </x:c>
      <x:c r="I53" t="str">
        <x:v>Ej testad</x:v>
      </x:c>
      <x:c r="J53"/>
      <x:c r="K53"/>
      <x:c r="L53"/>
      <x:c r="M53"/>
      <x:c r="N53" t="str">
        <x:f>IF(COUNT(J53:M53)=0,"",SUM(J53:M53))</x:f>
      </x:c>
      <x:c r="O53" t="str"/>
      <x:c r="P53" t="str"/>
      <x:c r="Q53" t="str"/>
      <x:c r="R53" t="str"/>
    </x:row>
    <x:row r="54">
      <x:c r="A54" t="str">
        <x:v>GQ-053</x:v>
      </x:c>
      <x:c r="B54" t="str">
        <x:v>Marknad</x:v>
      </x:c>
      <x:c r="C54" t="str">
        <x:v>Prissättning och erbjudande</x:v>
      </x:c>
      <x:c r="D54" s="8" t="str">
        <x:v>Vilka avtal tillåter oss att indexjustera priserna?</x:v>
      </x:c>
      <x:c r="E54" t="str">
        <x:v>Avtal + försäljningsdata + omvärld</x:v>
      </x:c>
      <x:c r="F54" t="str">
        <x:v>Intern</x:v>
      </x:c>
      <x:c r="G54" t="str">
        <x:v>Jämförelse</x:v>
      </x:c>
      <x:c r="H54" t="str">
        <x:v>Medel</x:v>
      </x:c>
      <x:c r="I54" t="str">
        <x:v>Ej testad</x:v>
      </x:c>
      <x:c r="J54"/>
      <x:c r="K54"/>
      <x:c r="L54"/>
      <x:c r="M54"/>
      <x:c r="N54" t="str">
        <x:f>IF(COUNT(J54:M54)=0,"",SUM(J54:M54))</x:f>
      </x:c>
      <x:c r="O54" t="str"/>
      <x:c r="P54" t="str"/>
      <x:c r="Q54" t="str"/>
      <x:c r="R54" t="str"/>
    </x:row>
    <x:row r="55">
      <x:c r="A55" t="str">
        <x:v>GQ-054</x:v>
      </x:c>
      <x:c r="B55" t="str">
        <x:v>Marknad</x:v>
      </x:c>
      <x:c r="C55" t="str">
        <x:v>Prissättning och erbjudande</x:v>
      </x:c>
      <x:c r="D55" s="8" t="str">
        <x:v>Hur påverkas vinsten om vi höjer priset med fem procent?</x:v>
      </x:c>
      <x:c r="E55" t="str">
        <x:v>Avtal + försäljningsdata + omvärld</x:v>
      </x:c>
      <x:c r="F55" t="str">
        <x:v>Intern</x:v>
      </x:c>
      <x:c r="G55" t="str">
        <x:v>Jämförelse</x:v>
      </x:c>
      <x:c r="H55" t="str">
        <x:v>Medel</x:v>
      </x:c>
      <x:c r="I55" t="str">
        <x:v>Ej testad</x:v>
      </x:c>
      <x:c r="J55"/>
      <x:c r="K55"/>
      <x:c r="L55"/>
      <x:c r="M55"/>
      <x:c r="N55" t="str">
        <x:f>IF(COUNT(J55:M55)=0,"",SUM(J55:M55))</x:f>
      </x:c>
      <x:c r="O55" t="str"/>
      <x:c r="P55" t="str"/>
      <x:c r="Q55" t="str"/>
      <x:c r="R55" t="str"/>
    </x:row>
    <x:row r="56">
      <x:c r="A56" t="str">
        <x:v>GQ-055</x:v>
      </x:c>
      <x:c r="B56" t="str">
        <x:v>Marknad</x:v>
      </x:c>
      <x:c r="C56" t="str">
        <x:v>Prissättning och erbjudande</x:v>
      </x:c>
      <x:c r="D56" s="8" t="str">
        <x:v>Varför väljer kunder konkurrenter framför oss?</x:v>
      </x:c>
      <x:c r="E56" t="str">
        <x:v>Avtal + försäljningsdata + omvärld</x:v>
      </x:c>
      <x:c r="F56" t="str">
        <x:v>Intern + extern</x:v>
      </x:c>
      <x:c r="G56" t="str">
        <x:v>Jämförelse</x:v>
      </x:c>
      <x:c r="H56" t="str">
        <x:v>Medel</x:v>
      </x:c>
      <x:c r="I56" t="str">
        <x:v>Ej testad</x:v>
      </x:c>
      <x:c r="J56"/>
      <x:c r="K56"/>
      <x:c r="L56"/>
      <x:c r="M56"/>
      <x:c r="N56" t="str">
        <x:f>IF(COUNT(J56:M56)=0,"",SUM(J56:M56))</x:f>
      </x:c>
      <x:c r="O56" t="str"/>
      <x:c r="P56" t="str"/>
      <x:c r="Q56" t="str"/>
      <x:c r="R56" t="str"/>
    </x:row>
    <x:row r="57">
      <x:c r="A57" t="str">
        <x:v>GQ-056</x:v>
      </x:c>
      <x:c r="B57" t="str">
        <x:v>Marknad</x:v>
      </x:c>
      <x:c r="C57" t="str">
        <x:v>Prissättning och erbjudande</x:v>
      </x:c>
      <x:c r="D57" s="8" t="str">
        <x:v>Vilka erbjudanden efterfrågas men saknas i vårt sortiment?</x:v>
      </x:c>
      <x:c r="E57" t="str">
        <x:v>Avtal + försäljningsdata + omvärld</x:v>
      </x:c>
      <x:c r="F57" t="str">
        <x:v>Intern</x:v>
      </x:c>
      <x:c r="G57" t="str">
        <x:v>Jämförelse</x:v>
      </x:c>
      <x:c r="H57" t="str">
        <x:v>Medel</x:v>
      </x:c>
      <x:c r="I57" t="str">
        <x:v>Ej testad</x:v>
      </x:c>
      <x:c r="J57"/>
      <x:c r="K57"/>
      <x:c r="L57"/>
      <x:c r="M57"/>
      <x:c r="N57" t="str">
        <x:f>IF(COUNT(J57:M57)=0,"",SUM(J57:M57))</x:f>
      </x:c>
      <x:c r="O57" t="str"/>
      <x:c r="P57" t="str"/>
      <x:c r="Q57" t="str"/>
      <x:c r="R57" t="str"/>
    </x:row>
    <x:row r="58">
      <x:c r="A58" t="str">
        <x:v>GQ-057</x:v>
      </x:c>
      <x:c r="B58" t="str">
        <x:v>Marknad</x:v>
      </x:c>
      <x:c r="C58" t="str">
        <x:v>Prissättning och erbjudande</x:v>
      </x:c>
      <x:c r="D58" s="8" t="str">
        <x:v>Vilka kunder har specialrabatter och varför?</x:v>
      </x:c>
      <x:c r="E58" t="str">
        <x:v>Avtal + försäljningsdata + omvärld</x:v>
      </x:c>
      <x:c r="F58" t="str">
        <x:v>Intern</x:v>
      </x:c>
      <x:c r="G58" t="str">
        <x:v>Jämförelse</x:v>
      </x:c>
      <x:c r="H58" t="str">
        <x:v>Medel</x:v>
      </x:c>
      <x:c r="I58" t="str">
        <x:v>Ej testad</x:v>
      </x:c>
      <x:c r="J58"/>
      <x:c r="K58"/>
      <x:c r="L58"/>
      <x:c r="M58"/>
      <x:c r="N58" t="str">
        <x:f>IF(COUNT(J58:M58)=0,"",SUM(J58:M58))</x:f>
      </x:c>
      <x:c r="O58" t="str"/>
      <x:c r="P58" t="str"/>
      <x:c r="Q58" t="str"/>
      <x:c r="R58" t="str"/>
    </x:row>
    <x:row r="59">
      <x:c r="A59" t="str">
        <x:v>GQ-058</x:v>
      </x:c>
      <x:c r="B59" t="str">
        <x:v>Marknad</x:v>
      </x:c>
      <x:c r="C59" t="str">
        <x:v>Prissättning och erbjudande</x:v>
      </x:c>
      <x:c r="D59" s="8" t="str">
        <x:v>Är våra timpriser konkurrenskraftiga i vår marknad?</x:v>
      </x:c>
      <x:c r="E59" t="str">
        <x:v>Avtal + försäljningsdata + omvärld</x:v>
      </x:c>
      <x:c r="F59" t="str">
        <x:v>Intern + extern</x:v>
      </x:c>
      <x:c r="G59" t="str">
        <x:v>Jämförelse</x:v>
      </x:c>
      <x:c r="H59" t="str">
        <x:v>Medel</x:v>
      </x:c>
      <x:c r="I59" t="str">
        <x:v>Ej testad</x:v>
      </x:c>
      <x:c r="J59"/>
      <x:c r="K59"/>
      <x:c r="L59"/>
      <x:c r="M59"/>
      <x:c r="N59" t="str">
        <x:f>IF(COUNT(J59:M59)=0,"",SUM(J59:M59))</x:f>
      </x:c>
      <x:c r="O59" t="str"/>
      <x:c r="P59" t="str"/>
      <x:c r="Q59" t="str"/>
      <x:c r="R59" t="str"/>
    </x:row>
    <x:row r="60">
      <x:c r="A60" t="str">
        <x:v>GQ-059</x:v>
      </x:c>
      <x:c r="B60" t="str">
        <x:v>Marknad</x:v>
      </x:c>
      <x:c r="C60" t="str">
        <x:v>Prissättning och erbjudande</x:v>
      </x:c>
      <x:c r="D60" s="8" t="str">
        <x:v>Vad skulle hända med lönsamheten om vi slutade sälja vår svagaste tjänst?</x:v>
      </x:c>
      <x:c r="E60" t="str">
        <x:v>Avtal + försäljningsdata + omvärld</x:v>
      </x:c>
      <x:c r="F60" t="str">
        <x:v>Intern</x:v>
      </x:c>
      <x:c r="G60" t="str">
        <x:v>Jämförelse</x:v>
      </x:c>
      <x:c r="H60" t="str">
        <x:v>Medel</x:v>
      </x:c>
      <x:c r="I60" t="str">
        <x:v>Ej testad</x:v>
      </x:c>
      <x:c r="J60"/>
      <x:c r="K60"/>
      <x:c r="L60"/>
      <x:c r="M60"/>
      <x:c r="N60" t="str">
        <x:f>IF(COUNT(J60:M60)=0,"",SUM(J60:M60))</x:f>
      </x:c>
      <x:c r="O60" t="str"/>
      <x:c r="P60" t="str"/>
      <x:c r="Q60" t="str"/>
      <x:c r="R60" t="str"/>
    </x:row>
    <x:row r="61">
      <x:c r="A61" t="str">
        <x:v>GQ-060</x:v>
      </x:c>
      <x:c r="B61" t="str">
        <x:v>Marknad</x:v>
      </x:c>
      <x:c r="C61" t="str">
        <x:v>Prissättning och erbjudande</x:v>
      </x:c>
      <x:c r="D61" s="8" t="str">
        <x:v>Vilket paket av tjänster ger störst kundvärde och bäst marginal?</x:v>
      </x:c>
      <x:c r="E61" t="str">
        <x:v>Avtal + försäljningsdata + omvärld</x:v>
      </x:c>
      <x:c r="F61" t="str">
        <x:v>Intern</x:v>
      </x:c>
      <x:c r="G61" t="str">
        <x:v>Jämförelse</x:v>
      </x:c>
      <x:c r="H61" t="str">
        <x:v>Medel</x:v>
      </x:c>
      <x:c r="I61" t="str">
        <x:v>Ej testad</x:v>
      </x:c>
      <x:c r="J61"/>
      <x:c r="K61"/>
      <x:c r="L61"/>
      <x:c r="M61"/>
      <x:c r="N61" t="str">
        <x:f>IF(COUNT(J61:M61)=0,"",SUM(J61:M61))</x:f>
      </x:c>
      <x:c r="O61" t="str"/>
      <x:c r="P61" t="str"/>
      <x:c r="Q61" t="str"/>
      <x:c r="R61" t="str"/>
    </x:row>
    <x:row r="62">
      <x:c r="A62" t="str">
        <x:v>GQ-061</x:v>
      </x:c>
      <x:c r="B62" t="str">
        <x:v>Personal</x:v>
      </x:c>
      <x:c r="C62" t="str">
        <x:v>Rekrytering och bemanning</x:v>
      </x:c>
      <x:c r="D62" s="8" t="str">
        <x:v>Vilka kompetenser saknar vi för nästa års affärsplan?</x:v>
      </x:c>
      <x:c r="E62" t="str">
        <x:v>HR + projekt + budget</x:v>
      </x:c>
      <x:c r="F62" t="str">
        <x:v>Intern</x:v>
      </x:c>
      <x:c r="G62" t="str">
        <x:v>Scenario</x:v>
      </x:c>
      <x:c r="H62" t="str">
        <x:v>Medel</x:v>
      </x:c>
      <x:c r="I62" t="str">
        <x:v>Ej testad</x:v>
      </x:c>
      <x:c r="J62"/>
      <x:c r="K62"/>
      <x:c r="L62"/>
      <x:c r="M62"/>
      <x:c r="N62" t="str">
        <x:f>IF(COUNT(J62:M62)=0,"",SUM(J62:M62))</x:f>
      </x:c>
      <x:c r="O62" t="str"/>
      <x:c r="P62" t="str"/>
      <x:c r="Q62" t="str"/>
      <x:c r="R62" t="str"/>
    </x:row>
    <x:row r="63">
      <x:c r="A63" t="str">
        <x:v>GQ-062</x:v>
      </x:c>
      <x:c r="B63" t="str">
        <x:v>Personal</x:v>
      </x:c>
      <x:c r="C63" t="str">
        <x:v>Rekrytering och bemanning</x:v>
      </x:c>
      <x:c r="D63" s="8" t="str">
        <x:v>Hur många personer behöver vi rekrytera om försäljningen växer med 25 procent?</x:v>
      </x:c>
      <x:c r="E63" t="str">
        <x:v>HR + projekt + budget</x:v>
      </x:c>
      <x:c r="F63" t="str">
        <x:v>Intern</x:v>
      </x:c>
      <x:c r="G63" t="str">
        <x:v>Scenario</x:v>
      </x:c>
      <x:c r="H63" t="str">
        <x:v>Medel</x:v>
      </x:c>
      <x:c r="I63" t="str">
        <x:v>Ej testad</x:v>
      </x:c>
      <x:c r="J63"/>
      <x:c r="K63"/>
      <x:c r="L63"/>
      <x:c r="M63"/>
      <x:c r="N63" t="str">
        <x:f>IF(COUNT(J63:M63)=0,"",SUM(J63:M63))</x:f>
      </x:c>
      <x:c r="O63" t="str"/>
      <x:c r="P63" t="str"/>
      <x:c r="Q63" t="str"/>
      <x:c r="R63" t="str"/>
    </x:row>
    <x:row r="64">
      <x:c r="A64" t="str">
        <x:v>GQ-063</x:v>
      </x:c>
      <x:c r="B64" t="str">
        <x:v>Personal</x:v>
      </x:c>
      <x:c r="C64" t="str">
        <x:v>Rekrytering och bemanning</x:v>
      </x:c>
      <x:c r="D64" s="8" t="str">
        <x:v>Vilka roller har störst risk att bli en flaskhals?</x:v>
      </x:c>
      <x:c r="E64" t="str">
        <x:v>HR + projekt + budget</x:v>
      </x:c>
      <x:c r="F64" t="str">
        <x:v>Intern</x:v>
      </x:c>
      <x:c r="G64" t="str">
        <x:v>Scenario</x:v>
      </x:c>
      <x:c r="H64" t="str">
        <x:v>Medel</x:v>
      </x:c>
      <x:c r="I64" t="str">
        <x:v>Ej testad</x:v>
      </x:c>
      <x:c r="J64"/>
      <x:c r="K64"/>
      <x:c r="L64"/>
      <x:c r="M64"/>
      <x:c r="N64" t="str">
        <x:f>IF(COUNT(J64:M64)=0,"",SUM(J64:M64))</x:f>
      </x:c>
      <x:c r="O64" t="str"/>
      <x:c r="P64" t="str"/>
      <x:c r="Q64" t="str"/>
      <x:c r="R64" t="str"/>
    </x:row>
    <x:row r="65">
      <x:c r="A65" t="str">
        <x:v>GQ-064</x:v>
      </x:c>
      <x:c r="B65" t="str">
        <x:v>Personal</x:v>
      </x:c>
      <x:c r="C65" t="str">
        <x:v>Rekrytering och bemanning</x:v>
      </x:c>
      <x:c r="D65" s="8" t="str">
        <x:v>Hur lång tid tar det från annonsering till att en nyanställd blir produktiv?</x:v>
      </x:c>
      <x:c r="E65" t="str">
        <x:v>HR + projekt + budget</x:v>
      </x:c>
      <x:c r="F65" t="str">
        <x:v>Intern</x:v>
      </x:c>
      <x:c r="G65" t="str">
        <x:v>Scenario</x:v>
      </x:c>
      <x:c r="H65" t="str">
        <x:v>Medel</x:v>
      </x:c>
      <x:c r="I65" t="str">
        <x:v>Ej testad</x:v>
      </x:c>
      <x:c r="J65"/>
      <x:c r="K65"/>
      <x:c r="L65"/>
      <x:c r="M65"/>
      <x:c r="N65" t="str">
        <x:f>IF(COUNT(J65:M65)=0,"",SUM(J65:M65))</x:f>
      </x:c>
      <x:c r="O65" t="str"/>
      <x:c r="P65" t="str"/>
      <x:c r="Q65" t="str"/>
      <x:c r="R65" t="str"/>
    </x:row>
    <x:row r="66">
      <x:c r="A66" t="str">
        <x:v>GQ-065</x:v>
      </x:c>
      <x:c r="B66" t="str">
        <x:v>Personal</x:v>
      </x:c>
      <x:c r="C66" t="str">
        <x:v>Rekrytering och bemanning</x:v>
      </x:c>
      <x:c r="D66" s="8" t="str">
        <x:v>Vad kostar en nyanställning inklusive arbetsgivaravgifter och onboarding?</x:v>
      </x:c>
      <x:c r="E66" t="str">
        <x:v>HR + projekt + budget</x:v>
      </x:c>
      <x:c r="F66" t="str">
        <x:v>Intern + extern</x:v>
      </x:c>
      <x:c r="G66" t="str">
        <x:v>Scenario</x:v>
      </x:c>
      <x:c r="H66" t="str">
        <x:v>Medel</x:v>
      </x:c>
      <x:c r="I66" t="str">
        <x:v>Ej testad</x:v>
      </x:c>
      <x:c r="J66"/>
      <x:c r="K66"/>
      <x:c r="L66"/>
      <x:c r="M66"/>
      <x:c r="N66" t="str">
        <x:f>IF(COUNT(J66:M66)=0,"",SUM(J66:M66))</x:f>
      </x:c>
      <x:c r="O66" t="str"/>
      <x:c r="P66" t="str"/>
      <x:c r="Q66" t="str"/>
      <x:c r="R66" t="str"/>
    </x:row>
    <x:row r="67">
      <x:c r="A67" t="str">
        <x:v>GQ-066</x:v>
      </x:c>
      <x:c r="B67" t="str">
        <x:v>Personal</x:v>
      </x:c>
      <x:c r="C67" t="str">
        <x:v>Rekrytering och bemanning</x:v>
      </x:c>
      <x:c r="D67" s="8" t="str">
        <x:v>Vilka uppdrag riskerar att sakna bemanning nästa månad?</x:v>
      </x:c>
      <x:c r="E67" t="str">
        <x:v>HR + projekt + budget</x:v>
      </x:c>
      <x:c r="F67" t="str">
        <x:v>Intern</x:v>
      </x:c>
      <x:c r="G67" t="str">
        <x:v>Scenario</x:v>
      </x:c>
      <x:c r="H67" t="str">
        <x:v>Medel</x:v>
      </x:c>
      <x:c r="I67" t="str">
        <x:v>Ej testad</x:v>
      </x:c>
      <x:c r="J67"/>
      <x:c r="K67"/>
      <x:c r="L67"/>
      <x:c r="M67"/>
      <x:c r="N67" t="str">
        <x:f>IF(COUNT(J67:M67)=0,"",SUM(J67:M67))</x:f>
      </x:c>
      <x:c r="O67" t="str"/>
      <x:c r="P67" t="str"/>
      <x:c r="Q67" t="str"/>
      <x:c r="R67" t="str"/>
    </x:row>
    <x:row r="68">
      <x:c r="A68" t="str">
        <x:v>GQ-067</x:v>
      </x:c>
      <x:c r="B68" t="str">
        <x:v>Personal</x:v>
      </x:c>
      <x:c r="C68" t="str">
        <x:v>Rekrytering och bemanning</x:v>
      </x:c>
      <x:c r="D68" s="8" t="str">
        <x:v>Kan vi omfördela personal i stället för att rekrytera?</x:v>
      </x:c>
      <x:c r="E68" t="str">
        <x:v>HR + projekt + budget</x:v>
      </x:c>
      <x:c r="F68" t="str">
        <x:v>Intern</x:v>
      </x:c>
      <x:c r="G68" t="str">
        <x:v>Scenario</x:v>
      </x:c>
      <x:c r="H68" t="str">
        <x:v>Medel</x:v>
      </x:c>
      <x:c r="I68" t="str">
        <x:v>Ej testad</x:v>
      </x:c>
      <x:c r="J68"/>
      <x:c r="K68"/>
      <x:c r="L68"/>
      <x:c r="M68"/>
      <x:c r="N68" t="str">
        <x:f>IF(COUNT(J68:M68)=0,"",SUM(J68:M68))</x:f>
      </x:c>
      <x:c r="O68" t="str"/>
      <x:c r="P68" t="str"/>
      <x:c r="Q68" t="str"/>
      <x:c r="R68" t="str"/>
    </x:row>
    <x:row r="69">
      <x:c r="A69" t="str">
        <x:v>GQ-068</x:v>
      </x:c>
      <x:c r="B69" t="str">
        <x:v>Personal</x:v>
      </x:c>
      <x:c r="C69" t="str">
        <x:v>Rekrytering och bemanning</x:v>
      </x:c>
      <x:c r="D69" s="8" t="str">
        <x:v>Vilka kandidater motsvarar bäst kraven i våra öppna roller?</x:v>
      </x:c>
      <x:c r="E69" t="str">
        <x:v>HR + projekt + budget</x:v>
      </x:c>
      <x:c r="F69" t="str">
        <x:v>Intern</x:v>
      </x:c>
      <x:c r="G69" t="str">
        <x:v>Scenario</x:v>
      </x:c>
      <x:c r="H69" t="str">
        <x:v>Medel</x:v>
      </x:c>
      <x:c r="I69" t="str">
        <x:v>Ej testad</x:v>
      </x:c>
      <x:c r="J69"/>
      <x:c r="K69"/>
      <x:c r="L69"/>
      <x:c r="M69"/>
      <x:c r="N69" t="str">
        <x:f>IF(COUNT(J69:M69)=0,"",SUM(J69:M69))</x:f>
      </x:c>
      <x:c r="O69" t="str"/>
      <x:c r="P69" t="str"/>
      <x:c r="Q69" t="str"/>
      <x:c r="R69" t="str"/>
    </x:row>
    <x:row r="70">
      <x:c r="A70" t="str">
        <x:v>GQ-069</x:v>
      </x:c>
      <x:c r="B70" t="str">
        <x:v>Personal</x:v>
      </x:c>
      <x:c r="C70" t="str">
        <x:v>Rekrytering och bemanning</x:v>
      </x:c>
      <x:c r="D70" s="8" t="str">
        <x:v>Vilken effekt får en ny senior specialist på beläggning och lönsamhet?</x:v>
      </x:c>
      <x:c r="E70" t="str">
        <x:v>HR + projekt + budget</x:v>
      </x:c>
      <x:c r="F70" t="str">
        <x:v>Intern</x:v>
      </x:c>
      <x:c r="G70" t="str">
        <x:v>Scenario</x:v>
      </x:c>
      <x:c r="H70" t="str">
        <x:v>Medel</x:v>
      </x:c>
      <x:c r="I70" t="str">
        <x:v>Ej testad</x:v>
      </x:c>
      <x:c r="J70"/>
      <x:c r="K70"/>
      <x:c r="L70"/>
      <x:c r="M70"/>
      <x:c r="N70" t="str">
        <x:f>IF(COUNT(J70:M70)=0,"",SUM(J70:M70))</x:f>
      </x:c>
      <x:c r="O70" t="str"/>
      <x:c r="P70" t="str"/>
      <x:c r="Q70" t="str"/>
      <x:c r="R70" t="str"/>
    </x:row>
    <x:row r="71">
      <x:c r="A71" t="str">
        <x:v>GQ-070</x:v>
      </x:c>
      <x:c r="B71" t="str">
        <x:v>Personal</x:v>
      </x:c>
      <x:c r="C71" t="str">
        <x:v>Rekrytering och bemanning</x:v>
      </x:c>
      <x:c r="D71" s="8" t="str">
        <x:v>Vilka kritiska kompetenser finns bara hos en enda person?</x:v>
      </x:c>
      <x:c r="E71" t="str">
        <x:v>HR + projekt + budget</x:v>
      </x:c>
      <x:c r="F71" t="str">
        <x:v>Intern</x:v>
      </x:c>
      <x:c r="G71" t="str">
        <x:v>Scenario</x:v>
      </x:c>
      <x:c r="H71" t="str">
        <x:v>Medel</x:v>
      </x:c>
      <x:c r="I71" t="str">
        <x:v>Ej testad</x:v>
      </x:c>
      <x:c r="J71"/>
      <x:c r="K71"/>
      <x:c r="L71"/>
      <x:c r="M71"/>
      <x:c r="N71" t="str">
        <x:f>IF(COUNT(J71:M71)=0,"",SUM(J71:M71))</x:f>
      </x:c>
      <x:c r="O71" t="str"/>
      <x:c r="P71" t="str"/>
      <x:c r="Q71" t="str"/>
      <x:c r="R71" t="str"/>
    </x:row>
    <x:row r="72">
      <x:c r="A72" t="str">
        <x:v>GQ-071</x:v>
      </x:c>
      <x:c r="B72" t="str">
        <x:v>Personal</x:v>
      </x:c>
      <x:c r="C72" t="str">
        <x:v>Arbetsmiljö och medarbetare</x:v>
      </x:c>
      <x:c r="D72" s="8" t="str">
        <x:v>Hur har personalomsättningen utvecklats senaste året?</x:v>
      </x:c>
      <x:c r="E72" t="str">
        <x:v>HR + policy + möten</x:v>
      </x:c>
      <x:c r="F72" t="str">
        <x:v>Intern</x:v>
      </x:c>
      <x:c r="G72" t="str">
        <x:v>Integritetskänslig analys</x:v>
      </x:c>
      <x:c r="H72" t="str">
        <x:v>Enkel</x:v>
      </x:c>
      <x:c r="I72" t="str">
        <x:v>Ej testad</x:v>
      </x:c>
      <x:c r="J72"/>
      <x:c r="K72"/>
      <x:c r="L72"/>
      <x:c r="M72"/>
      <x:c r="N72" t="str">
        <x:f>IF(COUNT(J72:M72)=0,"",SUM(J72:M72))</x:f>
      </x:c>
      <x:c r="O72" t="str"/>
      <x:c r="P72" t="str"/>
      <x:c r="Q72" t="str"/>
      <x:c r="R72" t="str"/>
    </x:row>
    <x:row r="73">
      <x:c r="A73" t="str">
        <x:v>GQ-072</x:v>
      </x:c>
      <x:c r="B73" t="str">
        <x:v>Personal</x:v>
      </x:c>
      <x:c r="C73" t="str">
        <x:v>Arbetsmiljö och medarbetare</x:v>
      </x:c>
      <x:c r="D73" s="8" t="str">
        <x:v>Vilka signaler tyder på ökad arbetsbelastning i något team?</x:v>
      </x:c>
      <x:c r="E73" t="str">
        <x:v>HR + policy + möten</x:v>
      </x:c>
      <x:c r="F73" t="str">
        <x:v>Intern</x:v>
      </x:c>
      <x:c r="G73" t="str">
        <x:v>Integritetskänslig analys</x:v>
      </x:c>
      <x:c r="H73" t="str">
        <x:v>Enkel</x:v>
      </x:c>
      <x:c r="I73" t="str">
        <x:v>Ej testad</x:v>
      </x:c>
      <x:c r="J73"/>
      <x:c r="K73"/>
      <x:c r="L73"/>
      <x:c r="M73"/>
      <x:c r="N73" t="str">
        <x:f>IF(COUNT(J73:M73)=0,"",SUM(J73:M73))</x:f>
      </x:c>
      <x:c r="O73" t="str"/>
      <x:c r="P73" t="str"/>
      <x:c r="Q73" t="str"/>
      <x:c r="R73" t="str"/>
    </x:row>
    <x:row r="74">
      <x:c r="A74" t="str">
        <x:v>GQ-073</x:v>
      </x:c>
      <x:c r="B74" t="str">
        <x:v>Personal</x:v>
      </x:c>
      <x:c r="C74" t="str">
        <x:v>Arbetsmiljö och medarbetare</x:v>
      </x:c>
      <x:c r="D74" s="8" t="str">
        <x:v>Vilka medarbetare har inte haft utvecklingssamtal på länge?</x:v>
      </x:c>
      <x:c r="E74" t="str">
        <x:v>HR + policy + möten</x:v>
      </x:c>
      <x:c r="F74" t="str">
        <x:v>Intern</x:v>
      </x:c>
      <x:c r="G74" t="str">
        <x:v>Integritetskänslig analys</x:v>
      </x:c>
      <x:c r="H74" t="str">
        <x:v>Enkel</x:v>
      </x:c>
      <x:c r="I74" t="str">
        <x:v>Ej testad</x:v>
      </x:c>
      <x:c r="J74"/>
      <x:c r="K74"/>
      <x:c r="L74"/>
      <x:c r="M74"/>
      <x:c r="N74" t="str">
        <x:f>IF(COUNT(J74:M74)=0,"",SUM(J74:M74))</x:f>
      </x:c>
      <x:c r="O74" t="str"/>
      <x:c r="P74" t="str"/>
      <x:c r="Q74" t="str"/>
      <x:c r="R74" t="str"/>
    </x:row>
    <x:row r="75">
      <x:c r="A75" t="str">
        <x:v>GQ-074</x:v>
      </x:c>
      <x:c r="B75" t="str">
        <x:v>Personal</x:v>
      </x:c>
      <x:c r="C75" t="str">
        <x:v>Arbetsmiljö och medarbetare</x:v>
      </x:c>
      <x:c r="D75" s="8" t="str">
        <x:v>Vilka åtgärder från senaste medarbetarundersökningen är fortfarande öppna?</x:v>
      </x:c>
      <x:c r="E75" t="str">
        <x:v>HR + policy + möten</x:v>
      </x:c>
      <x:c r="F75" t="str">
        <x:v>Intern</x:v>
      </x:c>
      <x:c r="G75" t="str">
        <x:v>Integritetskänslig analys</x:v>
      </x:c>
      <x:c r="H75" t="str">
        <x:v>Medel</x:v>
      </x:c>
      <x:c r="I75" t="str">
        <x:v>Ej testad</x:v>
      </x:c>
      <x:c r="J75"/>
      <x:c r="K75"/>
      <x:c r="L75"/>
      <x:c r="M75"/>
      <x:c r="N75" t="str">
        <x:f>IF(COUNT(J75:M75)=0,"",SUM(J75:M75))</x:f>
      </x:c>
      <x:c r="O75" t="str"/>
      <x:c r="P75" t="str"/>
      <x:c r="Q75" t="str"/>
      <x:c r="R75" t="str"/>
    </x:row>
    <x:row r="76">
      <x:c r="A76" t="str">
        <x:v>GQ-075</x:v>
      </x:c>
      <x:c r="B76" t="str">
        <x:v>Personal</x:v>
      </x:c>
      <x:c r="C76" t="str">
        <x:v>Arbetsmiljö och medarbetare</x:v>
      </x:c>
      <x:c r="D76" s="8" t="str">
        <x:v>Vad är orsakerna till att medarbetare slutar hos oss?</x:v>
      </x:c>
      <x:c r="E76" t="str">
        <x:v>HR + policy + möten</x:v>
      </x:c>
      <x:c r="F76" t="str">
        <x:v>Intern</x:v>
      </x:c>
      <x:c r="G76" t="str">
        <x:v>Integritetskänslig analys</x:v>
      </x:c>
      <x:c r="H76" t="str">
        <x:v>Medel</x:v>
      </x:c>
      <x:c r="I76" t="str">
        <x:v>Ej testad</x:v>
      </x:c>
      <x:c r="J76"/>
      <x:c r="K76"/>
      <x:c r="L76"/>
      <x:c r="M76"/>
      <x:c r="N76" t="str">
        <x:f>IF(COUNT(J76:M76)=0,"",SUM(J76:M76))</x:f>
      </x:c>
      <x:c r="O76" t="str"/>
      <x:c r="P76" t="str"/>
      <x:c r="Q76" t="str"/>
      <x:c r="R76" t="str"/>
    </x:row>
    <x:row r="77">
      <x:c r="A77" t="str">
        <x:v>GQ-076</x:v>
      </x:c>
      <x:c r="B77" t="str">
        <x:v>Personal</x:v>
      </x:c>
      <x:c r="C77" t="str">
        <x:v>Arbetsmiljö och medarbetare</x:v>
      </x:c>
      <x:c r="D77" s="8" t="str">
        <x:v>Vilka utbildningar behöver vi prioritera?</x:v>
      </x:c>
      <x:c r="E77" t="str">
        <x:v>HR + policy + möten</x:v>
      </x:c>
      <x:c r="F77" t="str">
        <x:v>Intern</x:v>
      </x:c>
      <x:c r="G77" t="str">
        <x:v>Integritetskänslig analys</x:v>
      </x:c>
      <x:c r="H77" t="str">
        <x:v>Medel</x:v>
      </x:c>
      <x:c r="I77" t="str">
        <x:v>Ej testad</x:v>
      </x:c>
      <x:c r="J77"/>
      <x:c r="K77"/>
      <x:c r="L77"/>
      <x:c r="M77"/>
      <x:c r="N77" t="str">
        <x:f>IF(COUNT(J77:M77)=0,"",SUM(J77:M77))</x:f>
      </x:c>
      <x:c r="O77" t="str"/>
      <x:c r="P77" t="str"/>
      <x:c r="Q77" t="str"/>
      <x:c r="R77" t="str"/>
    </x:row>
    <x:row r="78">
      <x:c r="A78" t="str">
        <x:v>GQ-077</x:v>
      </x:c>
      <x:c r="B78" t="str">
        <x:v>Personal</x:v>
      </x:c>
      <x:c r="C78" t="str">
        <x:v>Arbetsmiljö och medarbetare</x:v>
      </x:c>
      <x:c r="D78" s="8" t="str">
        <x:v>Har vi dokumenterat riskbedömningar för arbetsmiljön?</x:v>
      </x:c>
      <x:c r="E78" t="str">
        <x:v>HR + policy + möten</x:v>
      </x:c>
      <x:c r="F78" t="str">
        <x:v>Intern</x:v>
      </x:c>
      <x:c r="G78" t="str">
        <x:v>Integritetskänslig analys</x:v>
      </x:c>
      <x:c r="H78" t="str">
        <x:v>Medel</x:v>
      </x:c>
      <x:c r="I78" t="str">
        <x:v>Ej testad</x:v>
      </x:c>
      <x:c r="J78"/>
      <x:c r="K78"/>
      <x:c r="L78"/>
      <x:c r="M78"/>
      <x:c r="N78" t="str">
        <x:f>IF(COUNT(J78:M78)=0,"",SUM(J78:M78))</x:f>
      </x:c>
      <x:c r="O78" t="str"/>
      <x:c r="P78" t="str"/>
      <x:c r="Q78" t="str"/>
      <x:c r="R78" t="str"/>
    </x:row>
    <x:row r="79">
      <x:c r="A79" t="str">
        <x:v>GQ-078</x:v>
      </x:c>
      <x:c r="B79" t="str">
        <x:v>Personal</x:v>
      </x:c>
      <x:c r="C79" t="str">
        <x:v>Arbetsmiljö och medarbetare</x:v>
      </x:c>
      <x:c r="D79" s="8" t="str">
        <x:v>Hur har sjukfrånvaron förändrats och finns det mönster att följa upp?</x:v>
      </x:c>
      <x:c r="E79" t="str">
        <x:v>HR + policy + möten</x:v>
      </x:c>
      <x:c r="F79" t="str">
        <x:v>Intern</x:v>
      </x:c>
      <x:c r="G79" t="str">
        <x:v>Integritetskänslig analys</x:v>
      </x:c>
      <x:c r="H79" t="str">
        <x:v>Medel</x:v>
      </x:c>
      <x:c r="I79" t="str">
        <x:v>Ej testad</x:v>
      </x:c>
      <x:c r="J79"/>
      <x:c r="K79"/>
      <x:c r="L79"/>
      <x:c r="M79"/>
      <x:c r="N79" t="str">
        <x:f>IF(COUNT(J79:M79)=0,"",SUM(J79:M79))</x:f>
      </x:c>
      <x:c r="O79" t="str"/>
      <x:c r="P79" t="str"/>
      <x:c r="Q79" t="str"/>
      <x:c r="R79" t="str"/>
    </x:row>
    <x:row r="80">
      <x:c r="A80" t="str">
        <x:v>GQ-079</x:v>
      </x:c>
      <x:c r="B80" t="str">
        <x:v>Personal</x:v>
      </x:c>
      <x:c r="C80" t="str">
        <x:v>Arbetsmiljö och medarbetare</x:v>
      </x:c>
      <x:c r="D80" s="8" t="str">
        <x:v>Vilka ledarskapsfrågor återkommer i medarbetarnas feedback?</x:v>
      </x:c>
      <x:c r="E80" t="str">
        <x:v>HR + policy + möten</x:v>
      </x:c>
      <x:c r="F80" t="str">
        <x:v>Intern</x:v>
      </x:c>
      <x:c r="G80" t="str">
        <x:v>Integritetskänslig analys</x:v>
      </x:c>
      <x:c r="H80" t="str">
        <x:v>Medel</x:v>
      </x:c>
      <x:c r="I80" t="str">
        <x:v>Ej testad</x:v>
      </x:c>
      <x:c r="J80"/>
      <x:c r="K80"/>
      <x:c r="L80"/>
      <x:c r="M80"/>
      <x:c r="N80" t="str">
        <x:f>IF(COUNT(J80:M80)=0,"",SUM(J80:M80))</x:f>
      </x:c>
      <x:c r="O80" t="str"/>
      <x:c r="P80" t="str"/>
      <x:c r="Q80" t="str"/>
      <x:c r="R80" t="str"/>
    </x:row>
    <x:row r="81">
      <x:c r="A81" t="str">
        <x:v>GQ-080</x:v>
      </x:c>
      <x:c r="B81" t="str">
        <x:v>Personal</x:v>
      </x:c>
      <x:c r="C81" t="str">
        <x:v>Arbetsmiljö och medarbetare</x:v>
      </x:c>
      <x:c r="D81" s="8" t="str">
        <x:v>Vad behöver vi ändra för att förbättra trivsel och retention?</x:v>
      </x:c>
      <x:c r="E81" t="str">
        <x:v>HR + policy + möten</x:v>
      </x:c>
      <x:c r="F81" t="str">
        <x:v>Intern</x:v>
      </x:c>
      <x:c r="G81" t="str">
        <x:v>Integritetskänslig analys</x:v>
      </x:c>
      <x:c r="H81" t="str">
        <x:v>Medel</x:v>
      </x:c>
      <x:c r="I81" t="str">
        <x:v>Ej testad</x:v>
      </x:c>
      <x:c r="J81"/>
      <x:c r="K81"/>
      <x:c r="L81"/>
      <x:c r="M81"/>
      <x:c r="N81" t="str">
        <x:f>IF(COUNT(J81:M81)=0,"",SUM(J81:M81))</x:f>
      </x:c>
      <x:c r="O81" t="str"/>
      <x:c r="P81" t="str"/>
      <x:c r="Q81" t="str"/>
      <x:c r="R81" t="str"/>
    </x:row>
    <x:row r="82">
      <x:c r="A82" t="str">
        <x:v>GQ-081</x:v>
      </x:c>
      <x:c r="B82" t="str">
        <x:v>Personal</x:v>
      </x:c>
      <x:c r="C82" t="str">
        <x:v>Ledning och organisation</x:v>
      </x:c>
      <x:c r="D82" s="8" t="str">
        <x:v>Vilka beslut från senaste ledningsmötet är ännu inte genomförda?</x:v>
      </x:c>
      <x:c r="E82" t="str">
        <x:v>Mötesanteckningar + måldokument</x:v>
      </x:c>
      <x:c r="F82" t="str">
        <x:v>Intern</x:v>
      </x:c>
      <x:c r="G82" t="str">
        <x:v>Sammanställning</x:v>
      </x:c>
      <x:c r="H82" t="str">
        <x:v>Enkel</x:v>
      </x:c>
      <x:c r="I82" t="str">
        <x:v>Ej testad</x:v>
      </x:c>
      <x:c r="J82"/>
      <x:c r="K82"/>
      <x:c r="L82"/>
      <x:c r="M82"/>
      <x:c r="N82" t="str">
        <x:f>IF(COUNT(J82:M82)=0,"",SUM(J82:M82))</x:f>
      </x:c>
      <x:c r="O82" t="str"/>
      <x:c r="P82" t="str"/>
      <x:c r="Q82" t="str"/>
      <x:c r="R82" t="str"/>
    </x:row>
    <x:row r="83">
      <x:c r="A83" t="str">
        <x:v>GQ-082</x:v>
      </x:c>
      <x:c r="B83" t="str">
        <x:v>Personal</x:v>
      </x:c>
      <x:c r="C83" t="str">
        <x:v>Ledning och organisation</x:v>
      </x:c>
      <x:c r="D83" s="8" t="str">
        <x:v>Vem ansvarar för våra fem viktigaste initiativ?</x:v>
      </x:c>
      <x:c r="E83" t="str">
        <x:v>Mötesanteckningar + måldokument</x:v>
      </x:c>
      <x:c r="F83" t="str">
        <x:v>Intern</x:v>
      </x:c>
      <x:c r="G83" t="str">
        <x:v>Sammanställning</x:v>
      </x:c>
      <x:c r="H83" t="str">
        <x:v>Enkel</x:v>
      </x:c>
      <x:c r="I83" t="str">
        <x:v>Ej testad</x:v>
      </x:c>
      <x:c r="J83"/>
      <x:c r="K83"/>
      <x:c r="L83"/>
      <x:c r="M83"/>
      <x:c r="N83" t="str">
        <x:f>IF(COUNT(J83:M83)=0,"",SUM(J83:M83))</x:f>
      </x:c>
      <x:c r="O83" t="str"/>
      <x:c r="P83" t="str"/>
      <x:c r="Q83" t="str"/>
      <x:c r="R83" t="str"/>
    </x:row>
    <x:row r="84">
      <x:c r="A84" t="str">
        <x:v>GQ-083</x:v>
      </x:c>
      <x:c r="B84" t="str">
        <x:v>Personal</x:v>
      </x:c>
      <x:c r="C84" t="str">
        <x:v>Ledning och organisation</x:v>
      </x:c>
      <x:c r="D84" s="8" t="str">
        <x:v>Vilka mål saknar en tydlig ansvarig?</x:v>
      </x:c>
      <x:c r="E84" t="str">
        <x:v>Mötesanteckningar + måldokument</x:v>
      </x:c>
      <x:c r="F84" t="str">
        <x:v>Intern</x:v>
      </x:c>
      <x:c r="G84" t="str">
        <x:v>Sammanställning</x:v>
      </x:c>
      <x:c r="H84" t="str">
        <x:v>Enkel</x:v>
      </x:c>
      <x:c r="I84" t="str">
        <x:v>Ej testad</x:v>
      </x:c>
      <x:c r="J84"/>
      <x:c r="K84"/>
      <x:c r="L84"/>
      <x:c r="M84"/>
      <x:c r="N84" t="str">
        <x:f>IF(COUNT(J84:M84)=0,"",SUM(J84:M84))</x:f>
      </x:c>
      <x:c r="O84" t="str"/>
      <x:c r="P84" t="str"/>
      <x:c r="Q84" t="str"/>
      <x:c r="R84" t="str"/>
    </x:row>
    <x:row r="85">
      <x:c r="A85" t="str">
        <x:v>GQ-084</x:v>
      </x:c>
      <x:c r="B85" t="str">
        <x:v>Personal</x:v>
      </x:c>
      <x:c r="C85" t="str">
        <x:v>Ledning och organisation</x:v>
      </x:c>
      <x:c r="D85" s="8" t="str">
        <x:v>Var uppstår flest överlämningsproblem mellan avdelningar?</x:v>
      </x:c>
      <x:c r="E85" t="str">
        <x:v>Mötesanteckningar + måldokument</x:v>
      </x:c>
      <x:c r="F85" t="str">
        <x:v>Intern</x:v>
      </x:c>
      <x:c r="G85" t="str">
        <x:v>Sammanställning</x:v>
      </x:c>
      <x:c r="H85" t="str">
        <x:v>Medel</x:v>
      </x:c>
      <x:c r="I85" t="str">
        <x:v>Ej testad</x:v>
      </x:c>
      <x:c r="J85"/>
      <x:c r="K85"/>
      <x:c r="L85"/>
      <x:c r="M85"/>
      <x:c r="N85" t="str">
        <x:f>IF(COUNT(J85:M85)=0,"",SUM(J85:M85))</x:f>
      </x:c>
      <x:c r="O85" t="str"/>
      <x:c r="P85" t="str"/>
      <x:c r="Q85" t="str"/>
      <x:c r="R85" t="str"/>
    </x:row>
    <x:row r="86">
      <x:c r="A86" t="str">
        <x:v>GQ-085</x:v>
      </x:c>
      <x:c r="B86" t="str">
        <x:v>Personal</x:v>
      </x:c>
      <x:c r="C86" t="str">
        <x:v>Ledning och organisation</x:v>
      </x:c>
      <x:c r="D86" s="8" t="str">
        <x:v>Vilka återkommande rapporter tar mycket tid men används sällan?</x:v>
      </x:c>
      <x:c r="E86" t="str">
        <x:v>Mötesanteckningar + måldokument</x:v>
      </x:c>
      <x:c r="F86" t="str">
        <x:v>Intern</x:v>
      </x:c>
      <x:c r="G86" t="str">
        <x:v>Sammanställning</x:v>
      </x:c>
      <x:c r="H86" t="str">
        <x:v>Medel</x:v>
      </x:c>
      <x:c r="I86" t="str">
        <x:v>Ej testad</x:v>
      </x:c>
      <x:c r="J86"/>
      <x:c r="K86"/>
      <x:c r="L86"/>
      <x:c r="M86"/>
      <x:c r="N86" t="str">
        <x:f>IF(COUNT(J86:M86)=0,"",SUM(J86:M86))</x:f>
      </x:c>
      <x:c r="O86" t="str"/>
      <x:c r="P86" t="str"/>
      <x:c r="Q86" t="str"/>
      <x:c r="R86" t="str"/>
    </x:row>
    <x:row r="87">
      <x:c r="A87" t="str">
        <x:v>GQ-086</x:v>
      </x:c>
      <x:c r="B87" t="str">
        <x:v>Personal</x:v>
      </x:c>
      <x:c r="C87" t="str">
        <x:v>Ledning och organisation</x:v>
      </x:c>
      <x:c r="D87" s="8" t="str">
        <x:v>Vad har förändrats sedan förra styrelsemötet?</x:v>
      </x:c>
      <x:c r="E87" t="str">
        <x:v>Mötesanteckningar + måldokument</x:v>
      </x:c>
      <x:c r="F87" t="str">
        <x:v>Intern</x:v>
      </x:c>
      <x:c r="G87" t="str">
        <x:v>Sammanställning</x:v>
      </x:c>
      <x:c r="H87" t="str">
        <x:v>Medel</x:v>
      </x:c>
      <x:c r="I87" t="str">
        <x:v>Ej testad</x:v>
      </x:c>
      <x:c r="J87"/>
      <x:c r="K87"/>
      <x:c r="L87"/>
      <x:c r="M87"/>
      <x:c r="N87" t="str">
        <x:f>IF(COUNT(J87:M87)=0,"",SUM(J87:M87))</x:f>
      </x:c>
      <x:c r="O87" t="str"/>
      <x:c r="P87" t="str"/>
      <x:c r="Q87" t="str"/>
      <x:c r="R87" t="str"/>
    </x:row>
    <x:row r="88">
      <x:c r="A88" t="str">
        <x:v>GQ-087</x:v>
      </x:c>
      <x:c r="B88" t="str">
        <x:v>Personal</x:v>
      </x:c>
      <x:c r="C88" t="str">
        <x:v>Ledning och organisation</x:v>
      </x:c>
      <x:c r="D88" s="8" t="str">
        <x:v>Vilka frågor borde finnas på nästa ledningsmötes agenda?</x:v>
      </x:c>
      <x:c r="E88" t="str">
        <x:v>Mötesanteckningar + måldokument</x:v>
      </x:c>
      <x:c r="F88" t="str">
        <x:v>Intern</x:v>
      </x:c>
      <x:c r="G88" t="str">
        <x:v>Sammanställning</x:v>
      </x:c>
      <x:c r="H88" t="str">
        <x:v>Medel</x:v>
      </x:c>
      <x:c r="I88" t="str">
        <x:v>Ej testad</x:v>
      </x:c>
      <x:c r="J88"/>
      <x:c r="K88"/>
      <x:c r="L88"/>
      <x:c r="M88"/>
      <x:c r="N88" t="str">
        <x:f>IF(COUNT(J88:M88)=0,"",SUM(J88:M88))</x:f>
      </x:c>
      <x:c r="O88" t="str"/>
      <x:c r="P88" t="str"/>
      <x:c r="Q88" t="str"/>
      <x:c r="R88" t="str"/>
    </x:row>
    <x:row r="89">
      <x:c r="A89" t="str">
        <x:v>GQ-088</x:v>
      </x:c>
      <x:c r="B89" t="str">
        <x:v>Personal</x:v>
      </x:c>
      <x:c r="C89" t="str">
        <x:v>Ledning och organisation</x:v>
      </x:c>
      <x:c r="D89" s="8" t="str">
        <x:v>Vilka strategiska beslut har vi skjutit upp för länge?</x:v>
      </x:c>
      <x:c r="E89" t="str">
        <x:v>Mötesanteckningar + måldokument</x:v>
      </x:c>
      <x:c r="F89" t="str">
        <x:v>Intern</x:v>
      </x:c>
      <x:c r="G89" t="str">
        <x:v>Sammanställning</x:v>
      </x:c>
      <x:c r="H89" t="str">
        <x:v>Medel</x:v>
      </x:c>
      <x:c r="I89" t="str">
        <x:v>Ej testad</x:v>
      </x:c>
      <x:c r="J89"/>
      <x:c r="K89"/>
      <x:c r="L89"/>
      <x:c r="M89"/>
      <x:c r="N89" t="str">
        <x:f>IF(COUNT(J89:M89)=0,"",SUM(J89:M89))</x:f>
      </x:c>
      <x:c r="O89" t="str"/>
      <x:c r="P89" t="str"/>
      <x:c r="Q89" t="str"/>
      <x:c r="R89" t="str"/>
    </x:row>
    <x:row r="90">
      <x:c r="A90" t="str">
        <x:v>GQ-089</x:v>
      </x:c>
      <x:c r="B90" t="str">
        <x:v>Personal</x:v>
      </x:c>
      <x:c r="C90" t="str">
        <x:v>Ledning och organisation</x:v>
      </x:c>
      <x:c r="D90" s="8" t="str">
        <x:v>Vilka processer är beroende av muntlig kunskap i stället för dokumentation?</x:v>
      </x:c>
      <x:c r="E90" t="str">
        <x:v>Mötesanteckningar + måldokument</x:v>
      </x:c>
      <x:c r="F90" t="str">
        <x:v>Intern</x:v>
      </x:c>
      <x:c r="G90" t="str">
        <x:v>Sammanställning</x:v>
      </x:c>
      <x:c r="H90" t="str">
        <x:v>Medel</x:v>
      </x:c>
      <x:c r="I90" t="str">
        <x:v>Ej testad</x:v>
      </x:c>
      <x:c r="J90"/>
      <x:c r="K90"/>
      <x:c r="L90"/>
      <x:c r="M90"/>
      <x:c r="N90" t="str">
        <x:f>IF(COUNT(J90:M90)=0,"",SUM(J90:M90))</x:f>
      </x:c>
      <x:c r="O90" t="str"/>
      <x:c r="P90" t="str"/>
      <x:c r="Q90" t="str"/>
      <x:c r="R90" t="str"/>
    </x:row>
    <x:row r="91">
      <x:c r="A91" t="str">
        <x:v>GQ-090</x:v>
      </x:c>
      <x:c r="B91" t="str">
        <x:v>Personal</x:v>
      </x:c>
      <x:c r="C91" t="str">
        <x:v>Ledning och organisation</x:v>
      </x:c>
      <x:c r="D91" s="8" t="str">
        <x:v>Vad behöver jag som VD agera på innan veckans slut?</x:v>
      </x:c>
      <x:c r="E91" t="str">
        <x:v>Mötesanteckningar + måldokument</x:v>
      </x:c>
      <x:c r="F91" t="str">
        <x:v>Intern</x:v>
      </x:c>
      <x:c r="G91" t="str">
        <x:v>Sammanställning</x:v>
      </x:c>
      <x:c r="H91" t="str">
        <x:v>Medel</x:v>
      </x:c>
      <x:c r="I91" t="str">
        <x:v>Ej testad</x:v>
      </x:c>
      <x:c r="J91"/>
      <x:c r="K91"/>
      <x:c r="L91"/>
      <x:c r="M91"/>
      <x:c r="N91" t="str">
        <x:f>IF(COUNT(J91:M91)=0,"",SUM(J91:M91))</x:f>
      </x:c>
      <x:c r="O91" t="str"/>
      <x:c r="P91" t="str"/>
      <x:c r="Q91" t="str"/>
      <x:c r="R91" t="str"/>
    </x:row>
    <x:row r="92">
      <x:c r="A92" t="str">
        <x:v>GQ-091</x:v>
      </x:c>
      <x:c r="B92" t="str">
        <x:v>Juridik</x:v>
      </x:c>
      <x:c r="C92" t="str">
        <x:v>Kundavtal och leverantörsavtal</x:v>
      </x:c>
      <x:c r="D92" s="8" t="str">
        <x:v>Vilka kundavtal förnyas automatiskt inom 90 dagar?</x:v>
      </x:c>
      <x:c r="E92" t="str">
        <x:v>Avtal + avtalsmallar</x:v>
      </x:c>
      <x:c r="F92" t="str">
        <x:v>Intern</x:v>
      </x:c>
      <x:c r="G92" t="str">
        <x:v>Klausulretrieval + jämförelse</x:v>
      </x:c>
      <x:c r="H92" t="str">
        <x:v>Medel</x:v>
      </x:c>
      <x:c r="I92" t="str">
        <x:v>Ej testad</x:v>
      </x:c>
      <x:c r="J92"/>
      <x:c r="K92"/>
      <x:c r="L92"/>
      <x:c r="M92"/>
      <x:c r="N92" t="str">
        <x:f>IF(COUNT(J92:M92)=0,"",SUM(J92:M92))</x:f>
      </x:c>
      <x:c r="O92" t="str"/>
      <x:c r="P92" t="str"/>
      <x:c r="Q92" t="str"/>
      <x:c r="R92" t="str"/>
    </x:row>
    <x:row r="93">
      <x:c r="A93" t="str">
        <x:v>GQ-092</x:v>
      </x:c>
      <x:c r="B93" t="str">
        <x:v>Juridik</x:v>
      </x:c>
      <x:c r="C93" t="str">
        <x:v>Kundavtal och leverantörsavtal</x:v>
      </x:c>
      <x:c r="D93" s="8" t="str">
        <x:v>Vilka avtal innehåller ovanligt långtgående ansvarsbegränsningar eller garantier?</x:v>
      </x:c>
      <x:c r="E93" t="str">
        <x:v>Avtal + avtalsmallar</x:v>
      </x:c>
      <x:c r="F93" t="str">
        <x:v>Intern</x:v>
      </x:c>
      <x:c r="G93" t="str">
        <x:v>Klausulretrieval + jämförelse</x:v>
      </x:c>
      <x:c r="H93" t="str">
        <x:v>Medel</x:v>
      </x:c>
      <x:c r="I93" t="str">
        <x:v>Ej testad</x:v>
      </x:c>
      <x:c r="J93"/>
      <x:c r="K93"/>
      <x:c r="L93"/>
      <x:c r="M93"/>
      <x:c r="N93" t="str">
        <x:f>IF(COUNT(J93:M93)=0,"",SUM(J93:M93))</x:f>
      </x:c>
      <x:c r="O93" t="str"/>
      <x:c r="P93" t="str"/>
      <x:c r="Q93" t="str"/>
      <x:c r="R93" t="str"/>
    </x:row>
    <x:row r="94">
      <x:c r="A94" t="str">
        <x:v>GQ-093</x:v>
      </x:c>
      <x:c r="B94" t="str">
        <x:v>Juridik</x:v>
      </x:c>
      <x:c r="C94" t="str">
        <x:v>Kundavtal och leverantörsavtal</x:v>
      </x:c>
      <x:c r="D94" s="8" t="str">
        <x:v>Vilka kundavtal saknar tydliga regler om prisjustering?</x:v>
      </x:c>
      <x:c r="E94" t="str">
        <x:v>Avtal + avtalsmallar</x:v>
      </x:c>
      <x:c r="F94" t="str">
        <x:v>Intern + extern</x:v>
      </x:c>
      <x:c r="G94" t="str">
        <x:v>Klausulretrieval + jämförelse</x:v>
      </x:c>
      <x:c r="H94" t="str">
        <x:v>Medel</x:v>
      </x:c>
      <x:c r="I94" t="str">
        <x:v>Ej testad</x:v>
      </x:c>
      <x:c r="J94"/>
      <x:c r="K94"/>
      <x:c r="L94"/>
      <x:c r="M94"/>
      <x:c r="N94" t="str">
        <x:f>IF(COUNT(J94:M94)=0,"",SUM(J94:M94))</x:f>
      </x:c>
      <x:c r="O94" t="str"/>
      <x:c r="P94" t="str"/>
      <x:c r="Q94" t="str"/>
      <x:c r="R94" t="str"/>
    </x:row>
    <x:row r="95">
      <x:c r="A95" t="str">
        <x:v>GQ-094</x:v>
      </x:c>
      <x:c r="B95" t="str">
        <x:v>Juridik</x:v>
      </x:c>
      <x:c r="C95" t="str">
        <x:v>Kundavtal och leverantörsavtal</x:v>
      </x:c>
      <x:c r="D95" s="8" t="str">
        <x:v>Vilka leverantörsavtal kan sägas upp de kommande tre månaderna?</x:v>
      </x:c>
      <x:c r="E95" t="str">
        <x:v>Avtal + avtalsmallar</x:v>
      </x:c>
      <x:c r="F95" t="str">
        <x:v>Intern</x:v>
      </x:c>
      <x:c r="G95" t="str">
        <x:v>Klausulretrieval + jämförelse</x:v>
      </x:c>
      <x:c r="H95" t="str">
        <x:v>Medel</x:v>
      </x:c>
      <x:c r="I95" t="str">
        <x:v>Ej testad</x:v>
      </x:c>
      <x:c r="J95"/>
      <x:c r="K95"/>
      <x:c r="L95"/>
      <x:c r="M95"/>
      <x:c r="N95" t="str">
        <x:f>IF(COUNT(J95:M95)=0,"",SUM(J95:M95))</x:f>
      </x:c>
      <x:c r="O95" t="str"/>
      <x:c r="P95" t="str"/>
      <x:c r="Q95" t="str"/>
      <x:c r="R95" t="str"/>
    </x:row>
    <x:row r="96">
      <x:c r="A96" t="str">
        <x:v>GQ-095</x:v>
      </x:c>
      <x:c r="B96" t="str">
        <x:v>Juridik</x:v>
      </x:c>
      <x:c r="C96" t="str">
        <x:v>Kundavtal och leverantörsavtal</x:v>
      </x:c>
      <x:c r="D96" s="8" t="str">
        <x:v>Vilka avtalsvillkor avviker från vår vanliga avtalsmall?</x:v>
      </x:c>
      <x:c r="E96" t="str">
        <x:v>Avtal + avtalsmallar</x:v>
      </x:c>
      <x:c r="F96" t="str">
        <x:v>Intern</x:v>
      </x:c>
      <x:c r="G96" t="str">
        <x:v>Klausulretrieval + jämförelse</x:v>
      </x:c>
      <x:c r="H96" t="str">
        <x:v>Medel</x:v>
      </x:c>
      <x:c r="I96" t="str">
        <x:v>Ej testad</x:v>
      </x:c>
      <x:c r="J96"/>
      <x:c r="K96"/>
      <x:c r="L96"/>
      <x:c r="M96"/>
      <x:c r="N96" t="str">
        <x:f>IF(COUNT(J96:M96)=0,"",SUM(J96:M96))</x:f>
      </x:c>
      <x:c r="O96" t="str"/>
      <x:c r="P96" t="str"/>
      <x:c r="Q96" t="str"/>
      <x:c r="R96" t="str"/>
    </x:row>
    <x:row r="97">
      <x:c r="A97" t="str">
        <x:v>GQ-096</x:v>
      </x:c>
      <x:c r="B97" t="str">
        <x:v>Juridik</x:v>
      </x:c>
      <x:c r="C97" t="str">
        <x:v>Kundavtal och leverantörsavtal</x:v>
      </x:c>
      <x:c r="D97" s="8" t="str">
        <x:v>Finns det avtal som förbjuder oss att arbeta med vissa kunder?</x:v>
      </x:c>
      <x:c r="E97" t="str">
        <x:v>Avtal + avtalsmallar</x:v>
      </x:c>
      <x:c r="F97" t="str">
        <x:v>Intern</x:v>
      </x:c>
      <x:c r="G97" t="str">
        <x:v>Klausulretrieval + jämförelse</x:v>
      </x:c>
      <x:c r="H97" t="str">
        <x:v>Medel</x:v>
      </x:c>
      <x:c r="I97" t="str">
        <x:v>Ej testad</x:v>
      </x:c>
      <x:c r="J97"/>
      <x:c r="K97"/>
      <x:c r="L97"/>
      <x:c r="M97"/>
      <x:c r="N97" t="str">
        <x:f>IF(COUNT(J97:M97)=0,"",SUM(J97:M97))</x:f>
      </x:c>
      <x:c r="O97" t="str"/>
      <x:c r="P97" t="str"/>
      <x:c r="Q97" t="str"/>
      <x:c r="R97" t="str"/>
    </x:row>
    <x:row r="98">
      <x:c r="A98" t="str">
        <x:v>GQ-097</x:v>
      </x:c>
      <x:c r="B98" t="str">
        <x:v>Juridik</x:v>
      </x:c>
      <x:c r="C98" t="str">
        <x:v>Kundavtal och leverantörsavtal</x:v>
      </x:c>
      <x:c r="D98" s="8" t="str">
        <x:v>Vilka avtal innehåller förändrings- eller kontrollägarklausuler?</x:v>
      </x:c>
      <x:c r="E98" t="str">
        <x:v>Avtal + avtalsmallar</x:v>
      </x:c>
      <x:c r="F98" t="str">
        <x:v>Intern</x:v>
      </x:c>
      <x:c r="G98" t="str">
        <x:v>Klausulretrieval + jämförelse</x:v>
      </x:c>
      <x:c r="H98" t="str">
        <x:v>Medel</x:v>
      </x:c>
      <x:c r="I98" t="str">
        <x:v>Ej testad</x:v>
      </x:c>
      <x:c r="J98"/>
      <x:c r="K98"/>
      <x:c r="L98"/>
      <x:c r="M98"/>
      <x:c r="N98" t="str">
        <x:f>IF(COUNT(J98:M98)=0,"",SUM(J98:M98))</x:f>
      </x:c>
      <x:c r="O98" t="str"/>
      <x:c r="P98" t="str"/>
      <x:c r="Q98" t="str"/>
      <x:c r="R98" t="str"/>
    </x:row>
    <x:row r="99">
      <x:c r="A99" t="str">
        <x:v>GQ-098</x:v>
      </x:c>
      <x:c r="B99" t="str">
        <x:v>Juridik</x:v>
      </x:c>
      <x:c r="C99" t="str">
        <x:v>Kundavtal och leverantörsavtal</x:v>
      </x:c>
      <x:c r="D99" s="8" t="str">
        <x:v>Vad händer om vår viktigaste leverantör bryter avtalet?</x:v>
      </x:c>
      <x:c r="E99" t="str">
        <x:v>Avtal + avtalsmallar</x:v>
      </x:c>
      <x:c r="F99" t="str">
        <x:v>Intern</x:v>
      </x:c>
      <x:c r="G99" t="str">
        <x:v>Klausulretrieval + jämförelse</x:v>
      </x:c>
      <x:c r="H99" t="str">
        <x:v>Medel</x:v>
      </x:c>
      <x:c r="I99" t="str">
        <x:v>Ej testad</x:v>
      </x:c>
      <x:c r="J99"/>
      <x:c r="K99"/>
      <x:c r="L99"/>
      <x:c r="M99"/>
      <x:c r="N99" t="str">
        <x:f>IF(COUNT(J99:M99)=0,"",SUM(J99:M99))</x:f>
      </x:c>
      <x:c r="O99" t="str"/>
      <x:c r="P99" t="str"/>
      <x:c r="Q99" t="str"/>
      <x:c r="R99" t="str"/>
    </x:row>
    <x:row r="100">
      <x:c r="A100" t="str">
        <x:v>GQ-099</x:v>
      </x:c>
      <x:c r="B100" t="str">
        <x:v>Juridik</x:v>
      </x:c>
      <x:c r="C100" t="str">
        <x:v>Kundavtal och leverantörsavtal</x:v>
      </x:c>
      <x:c r="D100" s="8" t="str">
        <x:v>Vilka uppsägningstider gäller för våra tio största avtal?</x:v>
      </x:c>
      <x:c r="E100" t="str">
        <x:v>Avtal + avtalsmallar</x:v>
      </x:c>
      <x:c r="F100" t="str">
        <x:v>Intern</x:v>
      </x:c>
      <x:c r="G100" t="str">
        <x:v>Klausulretrieval + jämförelse</x:v>
      </x:c>
      <x:c r="H100" t="str">
        <x:v>Medel</x:v>
      </x:c>
      <x:c r="I100" t="str">
        <x:v>Ej testad</x:v>
      </x:c>
      <x:c r="J100"/>
      <x:c r="K100"/>
      <x:c r="L100"/>
      <x:c r="M100"/>
      <x:c r="N100" t="str">
        <x:f>IF(COUNT(J100:M100)=0,"",SUM(J100:M100))</x:f>
      </x:c>
      <x:c r="O100" t="str"/>
      <x:c r="P100" t="str"/>
      <x:c r="Q100" t="str"/>
      <x:c r="R100" t="str"/>
    </x:row>
    <x:row r="101">
      <x:c r="A101" t="str">
        <x:v>GQ-100</x:v>
      </x:c>
      <x:c r="B101" t="str">
        <x:v>Juridik</x:v>
      </x:c>
      <x:c r="C101" t="str">
        <x:v>Kundavtal och leverantörsavtal</x:v>
      </x:c>
      <x:c r="D101" s="8" t="str">
        <x:v>Vilka risker finns i det nya avtalet jämfört med våra tidigare avtal?</x:v>
      </x:c>
      <x:c r="E101" t="str">
        <x:v>Avtal + avtalsmallar</x:v>
      </x:c>
      <x:c r="F101" t="str">
        <x:v>Intern</x:v>
      </x:c>
      <x:c r="G101" t="str">
        <x:v>Klausulretrieval + jämförelse</x:v>
      </x:c>
      <x:c r="H101" t="str">
        <x:v>Medel</x:v>
      </x:c>
      <x:c r="I101" t="str">
        <x:v>Ej testad</x:v>
      </x:c>
      <x:c r="J101"/>
      <x:c r="K101"/>
      <x:c r="L101"/>
      <x:c r="M101"/>
      <x:c r="N101" t="str">
        <x:f>IF(COUNT(J101:M101)=0,"",SUM(J101:M101))</x:f>
      </x:c>
      <x:c r="O101" t="str"/>
      <x:c r="P101" t="str"/>
      <x:c r="Q101" t="str"/>
      <x:c r="R101" t="str"/>
    </x:row>
    <x:row r="102">
      <x:c r="A102" t="str">
        <x:v>GQ-101</x:v>
      </x:c>
      <x:c r="B102" t="str">
        <x:v>Juridik</x:v>
      </x:c>
      <x:c r="C102" t="str">
        <x:v>Arbetsrätt och bolagsjuridik</x:v>
      </x:c>
      <x:c r="D102" s="8" t="str">
        <x:v>Vilka skyldigheter har vi innan vi genomför en omorganisation?</x:v>
      </x:c>
      <x:c r="E102" t="str">
        <x:v>Avtal + svensk lag</x:v>
      </x:c>
      <x:c r="F102" t="str">
        <x:v>Intern</x:v>
      </x:c>
      <x:c r="G102" t="str">
        <x:v>Extern rättskälla + analys</x:v>
      </x:c>
      <x:c r="H102" t="str">
        <x:v>Medel</x:v>
      </x:c>
      <x:c r="I102" t="str">
        <x:v>Ej testad</x:v>
      </x:c>
      <x:c r="J102"/>
      <x:c r="K102"/>
      <x:c r="L102"/>
      <x:c r="M102"/>
      <x:c r="N102" t="str">
        <x:f>IF(COUNT(J102:M102)=0,"",SUM(J102:M102))</x:f>
      </x:c>
      <x:c r="O102" t="str"/>
      <x:c r="P102" t="str"/>
      <x:c r="Q102" t="str"/>
      <x:c r="R102" t="str"/>
    </x:row>
    <x:row r="103">
      <x:c r="A103" t="str">
        <x:v>GQ-102</x:v>
      </x:c>
      <x:c r="B103" t="str">
        <x:v>Juridik</x:v>
      </x:c>
      <x:c r="C103" t="str">
        <x:v>Arbetsrätt och bolagsjuridik</x:v>
      </x:c>
      <x:c r="D103" s="8" t="str">
        <x:v>Vilka anställningsavtal saknar uppdaterade sekretessbestämmelser?</x:v>
      </x:c>
      <x:c r="E103" t="str">
        <x:v>Avtal + svensk lag</x:v>
      </x:c>
      <x:c r="F103" t="str">
        <x:v>Intern</x:v>
      </x:c>
      <x:c r="G103" t="str">
        <x:v>Extern rättskälla + analys</x:v>
      </x:c>
      <x:c r="H103" t="str">
        <x:v>Medel</x:v>
      </x:c>
      <x:c r="I103" t="str">
        <x:v>Ej testad</x:v>
      </x:c>
      <x:c r="J103"/>
      <x:c r="K103"/>
      <x:c r="L103"/>
      <x:c r="M103"/>
      <x:c r="N103" t="str">
        <x:f>IF(COUNT(J103:M103)=0,"",SUM(J103:M103))</x:f>
      </x:c>
      <x:c r="O103" t="str"/>
      <x:c r="P103" t="str"/>
      <x:c r="Q103" t="str"/>
      <x:c r="R103" t="str"/>
    </x:row>
    <x:row r="104">
      <x:c r="A104" t="str">
        <x:v>GQ-103</x:v>
      </x:c>
      <x:c r="B104" t="str">
        <x:v>Juridik</x:v>
      </x:c>
      <x:c r="C104" t="str">
        <x:v>Arbetsrätt och bolagsjuridik</x:v>
      </x:c>
      <x:c r="D104" s="8" t="str">
        <x:v>Hur ska vi hantera en medarbetare som inte når sina prestationsmål?</x:v>
      </x:c>
      <x:c r="E104" t="str">
        <x:v>Avtal + svensk lag</x:v>
      </x:c>
      <x:c r="F104" t="str">
        <x:v>Intern</x:v>
      </x:c>
      <x:c r="G104" t="str">
        <x:v>Extern rättskälla + analys</x:v>
      </x:c>
      <x:c r="H104" t="str">
        <x:v>Medel</x:v>
      </x:c>
      <x:c r="I104" t="str">
        <x:v>Ej testad</x:v>
      </x:c>
      <x:c r="J104"/>
      <x:c r="K104"/>
      <x:c r="L104"/>
      <x:c r="M104"/>
      <x:c r="N104" t="str">
        <x:f>IF(COUNT(J104:M104)=0,"",SUM(J104:M104))</x:f>
      </x:c>
      <x:c r="O104" t="str"/>
      <x:c r="P104" t="str"/>
      <x:c r="Q104" t="str"/>
      <x:c r="R104" t="str"/>
    </x:row>
    <x:row r="105">
      <x:c r="A105" t="str">
        <x:v>GQ-104</x:v>
      </x:c>
      <x:c r="B105" t="str">
        <x:v>Juridik</x:v>
      </x:c>
      <x:c r="C105" t="str">
        <x:v>Arbetsrätt och bolagsjuridik</x:v>
      </x:c>
      <x:c r="D105" s="8" t="str">
        <x:v>Vilka beslut måste tas av styrelsen och vilka kan VD fatta?</x:v>
      </x:c>
      <x:c r="E105" t="str">
        <x:v>Avtal + svensk lag</x:v>
      </x:c>
      <x:c r="F105" t="str">
        <x:v>Intern</x:v>
      </x:c>
      <x:c r="G105" t="str">
        <x:v>Extern rättskälla + analys</x:v>
      </x:c>
      <x:c r="H105" t="str">
        <x:v>Medel</x:v>
      </x:c>
      <x:c r="I105" t="str">
        <x:v>Ej testad</x:v>
      </x:c>
      <x:c r="J105"/>
      <x:c r="K105"/>
      <x:c r="L105"/>
      <x:c r="M105"/>
      <x:c r="N105" t="str">
        <x:f>IF(COUNT(J105:M105)=0,"",SUM(J105:M105))</x:f>
      </x:c>
      <x:c r="O105" t="str"/>
      <x:c r="P105" t="str"/>
      <x:c r="Q105" t="str"/>
      <x:c r="R105" t="str"/>
    </x:row>
    <x:row r="106">
      <x:c r="A106" t="str">
        <x:v>GQ-105</x:v>
      </x:c>
      <x:c r="B106" t="str">
        <x:v>Juridik</x:v>
      </x:c>
      <x:c r="C106" t="str">
        <x:v>Arbetsrätt och bolagsjuridik</x:v>
      </x:c>
      <x:c r="D106" s="8" t="str">
        <x:v>Vilka formella steg krävs om vi vill göra en riktad nyemission?</x:v>
      </x:c>
      <x:c r="E106" t="str">
        <x:v>Avtal + svensk lag</x:v>
      </x:c>
      <x:c r="F106" t="str">
        <x:v>Intern + extern</x:v>
      </x:c>
      <x:c r="G106" t="str">
        <x:v>Extern rättskälla + analys</x:v>
      </x:c>
      <x:c r="H106" t="str">
        <x:v>Medel</x:v>
      </x:c>
      <x:c r="I106" t="str">
        <x:v>Ej testad</x:v>
      </x:c>
      <x:c r="J106"/>
      <x:c r="K106"/>
      <x:c r="L106"/>
      <x:c r="M106"/>
      <x:c r="N106" t="str">
        <x:f>IF(COUNT(J106:M106)=0,"",SUM(J106:M106))</x:f>
      </x:c>
      <x:c r="O106" t="str"/>
      <x:c r="P106" t="str"/>
      <x:c r="Q106" t="str"/>
      <x:c r="R106" t="str"/>
    </x:row>
    <x:row r="107">
      <x:c r="A107" t="str">
        <x:v>GQ-106</x:v>
      </x:c>
      <x:c r="B107" t="str">
        <x:v>Juridik</x:v>
      </x:c>
      <x:c r="C107" t="str">
        <x:v>Arbetsrätt och bolagsjuridik</x:v>
      </x:c>
      <x:c r="D107" s="8" t="str">
        <x:v>När behöver vi kalla till kontrollstämma vid kapitalbrist?</x:v>
      </x:c>
      <x:c r="E107" t="str">
        <x:v>Avtal + svensk lag</x:v>
      </x:c>
      <x:c r="F107" t="str">
        <x:v>Intern + extern</x:v>
      </x:c>
      <x:c r="G107" t="str">
        <x:v>Extern rättskälla + analys</x:v>
      </x:c>
      <x:c r="H107" t="str">
        <x:v>Medel</x:v>
      </x:c>
      <x:c r="I107" t="str">
        <x:v>Ej testad</x:v>
      </x:c>
      <x:c r="J107"/>
      <x:c r="K107"/>
      <x:c r="L107"/>
      <x:c r="M107"/>
      <x:c r="N107" t="str">
        <x:f>IF(COUNT(J107:M107)=0,"",SUM(J107:M107))</x:f>
      </x:c>
      <x:c r="O107" t="str"/>
      <x:c r="P107" t="str"/>
      <x:c r="Q107" t="str"/>
      <x:c r="R107" t="str"/>
    </x:row>
    <x:row r="108">
      <x:c r="A108" t="str">
        <x:v>GQ-107</x:v>
      </x:c>
      <x:c r="B108" t="str">
        <x:v>Juridik</x:v>
      </x:c>
      <x:c r="C108" t="str">
        <x:v>Arbetsrätt och bolagsjuridik</x:v>
      </x:c>
      <x:c r="D108" s="8" t="str">
        <x:v>Har vi rätt att använda konsulter på det sätt vi gör idag?</x:v>
      </x:c>
      <x:c r="E108" t="str">
        <x:v>Avtal + svensk lag</x:v>
      </x:c>
      <x:c r="F108" t="str">
        <x:v>Intern + extern</x:v>
      </x:c>
      <x:c r="G108" t="str">
        <x:v>Extern rättskälla + analys</x:v>
      </x:c>
      <x:c r="H108" t="str">
        <x:v>Medel</x:v>
      </x:c>
      <x:c r="I108" t="str">
        <x:v>Ej testad</x:v>
      </x:c>
      <x:c r="J108"/>
      <x:c r="K108"/>
      <x:c r="L108"/>
      <x:c r="M108"/>
      <x:c r="N108" t="str">
        <x:f>IF(COUNT(J108:M108)=0,"",SUM(J108:M108))</x:f>
      </x:c>
      <x:c r="O108" t="str"/>
      <x:c r="P108" t="str"/>
      <x:c r="Q108" t="str"/>
      <x:c r="R108" t="str"/>
    </x:row>
    <x:row r="109">
      <x:c r="A109" t="str">
        <x:v>GQ-108</x:v>
      </x:c>
      <x:c r="B109" t="str">
        <x:v>Juridik</x:v>
      </x:c>
      <x:c r="C109" t="str">
        <x:v>Arbetsrätt och bolagsjuridik</x:v>
      </x:c>
      <x:c r="D109" s="8" t="str">
        <x:v>Vilka konkurrensklausuler i våra anställningsavtal är osäkra?</x:v>
      </x:c>
      <x:c r="E109" t="str">
        <x:v>Avtal + svensk lag</x:v>
      </x:c>
      <x:c r="F109" t="str">
        <x:v>Intern</x:v>
      </x:c>
      <x:c r="G109" t="str">
        <x:v>Extern rättskälla + analys</x:v>
      </x:c>
      <x:c r="H109" t="str">
        <x:v>Medel</x:v>
      </x:c>
      <x:c r="I109" t="str">
        <x:v>Ej testad</x:v>
      </x:c>
      <x:c r="J109"/>
      <x:c r="K109"/>
      <x:c r="L109"/>
      <x:c r="M109"/>
      <x:c r="N109" t="str">
        <x:f>IF(COUNT(J109:M109)=0,"",SUM(J109:M109))</x:f>
      </x:c>
      <x:c r="O109" t="str"/>
      <x:c r="P109" t="str"/>
      <x:c r="Q109" t="str"/>
      <x:c r="R109" t="str"/>
    </x:row>
    <x:row r="110">
      <x:c r="A110" t="str">
        <x:v>GQ-109</x:v>
      </x:c>
      <x:c r="B110" t="str">
        <x:v>Juridik</x:v>
      </x:c>
      <x:c r="C110" t="str">
        <x:v>Arbetsrätt och bolagsjuridik</x:v>
      </x:c>
      <x:c r="D110" s="8" t="str">
        <x:v>Vilka dokument måste finnas inför nästa årsstämma?</x:v>
      </x:c>
      <x:c r="E110" t="str">
        <x:v>Avtal + svensk lag</x:v>
      </x:c>
      <x:c r="F110" t="str">
        <x:v>Intern</x:v>
      </x:c>
      <x:c r="G110" t="str">
        <x:v>Extern rättskälla + analys</x:v>
      </x:c>
      <x:c r="H110" t="str">
        <x:v>Medel</x:v>
      </x:c>
      <x:c r="I110" t="str">
        <x:v>Ej testad</x:v>
      </x:c>
      <x:c r="J110"/>
      <x:c r="K110"/>
      <x:c r="L110"/>
      <x:c r="M110"/>
      <x:c r="N110" t="str">
        <x:f>IF(COUNT(J110:M110)=0,"",SUM(J110:M110))</x:f>
      </x:c>
      <x:c r="O110" t="str"/>
      <x:c r="P110" t="str"/>
      <x:c r="Q110" t="str"/>
      <x:c r="R110" t="str"/>
    </x:row>
    <x:row r="111">
      <x:c r="A111" t="str">
        <x:v>GQ-110</x:v>
      </x:c>
      <x:c r="B111" t="str">
        <x:v>Juridik</x:v>
      </x:c>
      <x:c r="C111" t="str">
        <x:v>Arbetsrätt och bolagsjuridik</x:v>
      </x:c>
      <x:c r="D111" s="8" t="str">
        <x:v>Vad behöver vi tänka på juridiskt om vi köper ett mindre bolag?</x:v>
      </x:c>
      <x:c r="E111" t="str">
        <x:v>Avtal + svensk lag</x:v>
      </x:c>
      <x:c r="F111" t="str">
        <x:v>Intern + extern</x:v>
      </x:c>
      <x:c r="G111" t="str">
        <x:v>Extern rättskälla + analys</x:v>
      </x:c>
      <x:c r="H111" t="str">
        <x:v>Medel</x:v>
      </x:c>
      <x:c r="I111" t="str">
        <x:v>Ej testad</x:v>
      </x:c>
      <x:c r="J111"/>
      <x:c r="K111"/>
      <x:c r="L111"/>
      <x:c r="M111"/>
      <x:c r="N111" t="str">
        <x:f>IF(COUNT(J111:M111)=0,"",SUM(J111:M111))</x:f>
      </x:c>
      <x:c r="O111" t="str"/>
      <x:c r="P111" t="str"/>
      <x:c r="Q111" t="str"/>
      <x:c r="R111" t="str"/>
    </x:row>
    <x:row r="112">
      <x:c r="A112" t="str">
        <x:v>GQ-111</x:v>
      </x:c>
      <x:c r="B112" t="str">
        <x:v>Juridik</x:v>
      </x:c>
      <x:c r="C112" t="str">
        <x:v>Regelefterlevnad och informationsskydd</x:v>
      </x:c>
      <x:c r="D112" s="8" t="str">
        <x:v>Vilka personuppgifter behandlar vi och varför?</x:v>
      </x:c>
      <x:c r="E112" t="str">
        <x:v>Policy + avtal + gällande regler</x:v>
      </x:c>
      <x:c r="F112" t="str">
        <x:v>Intern</x:v>
      </x:c>
      <x:c r="G112" t="str">
        <x:v>Regelefterlevnad + källstöd</x:v>
      </x:c>
      <x:c r="H112" t="str">
        <x:v>Medel</x:v>
      </x:c>
      <x:c r="I112" t="str">
        <x:v>Ej testad</x:v>
      </x:c>
      <x:c r="J112"/>
      <x:c r="K112"/>
      <x:c r="L112"/>
      <x:c r="M112"/>
      <x:c r="N112" t="str">
        <x:f>IF(COUNT(J112:M112)=0,"",SUM(J112:M112))</x:f>
      </x:c>
      <x:c r="O112" t="str"/>
      <x:c r="P112" t="str"/>
      <x:c r="Q112" t="str"/>
      <x:c r="R112" t="str"/>
    </x:row>
    <x:row r="113">
      <x:c r="A113" t="str">
        <x:v>GQ-112</x:v>
      </x:c>
      <x:c r="B113" t="str">
        <x:v>Juridik</x:v>
      </x:c>
      <x:c r="C113" t="str">
        <x:v>Regelefterlevnad och informationsskydd</x:v>
      </x:c>
      <x:c r="D113" s="8" t="str">
        <x:v>Vilka personuppgiftsbiträdesavtal saknas eller är för gamla?</x:v>
      </x:c>
      <x:c r="E113" t="str">
        <x:v>Policy + avtal + gällande regler</x:v>
      </x:c>
      <x:c r="F113" t="str">
        <x:v>Intern</x:v>
      </x:c>
      <x:c r="G113" t="str">
        <x:v>Regelefterlevnad + källstöd</x:v>
      </x:c>
      <x:c r="H113" t="str">
        <x:v>Medel</x:v>
      </x:c>
      <x:c r="I113" t="str">
        <x:v>Ej testad</x:v>
      </x:c>
      <x:c r="J113"/>
      <x:c r="K113"/>
      <x:c r="L113"/>
      <x:c r="M113"/>
      <x:c r="N113" t="str">
        <x:f>IF(COUNT(J113:M113)=0,"",SUM(J113:M113))</x:f>
      </x:c>
      <x:c r="O113" t="str"/>
      <x:c r="P113" t="str"/>
      <x:c r="Q113" t="str"/>
      <x:c r="R113" t="str"/>
    </x:row>
    <x:row r="114">
      <x:c r="A114" t="str">
        <x:v>GQ-113</x:v>
      </x:c>
      <x:c r="B114" t="str">
        <x:v>Juridik</x:v>
      </x:c>
      <x:c r="C114" t="str">
        <x:v>Regelefterlevnad och informationsskydd</x:v>
      </x:c>
      <x:c r="D114" s="8" t="str">
        <x:v>Hur skulle vi agera vid ett personuppgiftsincident i morgon?</x:v>
      </x:c>
      <x:c r="E114" t="str">
        <x:v>Policy + avtal + gällande regler</x:v>
      </x:c>
      <x:c r="F114" t="str">
        <x:v>Intern</x:v>
      </x:c>
      <x:c r="G114" t="str">
        <x:v>Regelefterlevnad + källstöd</x:v>
      </x:c>
      <x:c r="H114" t="str">
        <x:v>Medel</x:v>
      </x:c>
      <x:c r="I114" t="str">
        <x:v>Ej testad</x:v>
      </x:c>
      <x:c r="J114"/>
      <x:c r="K114"/>
      <x:c r="L114"/>
      <x:c r="M114"/>
      <x:c r="N114" t="str">
        <x:f>IF(COUNT(J114:M114)=0,"",SUM(J114:M114))</x:f>
      </x:c>
      <x:c r="O114" t="str"/>
      <x:c r="P114" t="str"/>
      <x:c r="Q114" t="str"/>
      <x:c r="R114" t="str"/>
    </x:row>
    <x:row r="115">
      <x:c r="A115" t="str">
        <x:v>GQ-114</x:v>
      </x:c>
      <x:c r="B115" t="str">
        <x:v>Juridik</x:v>
      </x:c>
      <x:c r="C115" t="str">
        <x:v>Regelefterlevnad och informationsskydd</x:v>
      </x:c>
      <x:c r="D115" s="8" t="str">
        <x:v>Vilka nya regler kan påverka vårt bolag kommande tolv månader?</x:v>
      </x:c>
      <x:c r="E115" t="str">
        <x:v>Policy + avtal + gällande regler</x:v>
      </x:c>
      <x:c r="F115" t="str">
        <x:v>Intern + extern</x:v>
      </x:c>
      <x:c r="G115" t="str">
        <x:v>Regelefterlevnad + källstöd</x:v>
      </x:c>
      <x:c r="H115" t="str">
        <x:v>Medel</x:v>
      </x:c>
      <x:c r="I115" t="str">
        <x:v>Ej testad</x:v>
      </x:c>
      <x:c r="J115"/>
      <x:c r="K115"/>
      <x:c r="L115"/>
      <x:c r="M115"/>
      <x:c r="N115" t="str">
        <x:f>IF(COUNT(J115:M115)=0,"",SUM(J115:M115))</x:f>
      </x:c>
      <x:c r="O115" t="str"/>
      <x:c r="P115" t="str"/>
      <x:c r="Q115" t="str"/>
      <x:c r="R115" t="str"/>
    </x:row>
    <x:row r="116">
      <x:c r="A116" t="str">
        <x:v>GQ-115</x:v>
      </x:c>
      <x:c r="B116" t="str">
        <x:v>Juridik</x:v>
      </x:c>
      <x:c r="C116" t="str">
        <x:v>Regelefterlevnad och informationsskydd</x:v>
      </x:c>
      <x:c r="D116" s="8" t="str">
        <x:v>Vilka av våra system hanterar känsliga uppgifter utan tydlig åtkomstkontroll?</x:v>
      </x:c>
      <x:c r="E116" t="str">
        <x:v>Policy + avtal + gällande regler</x:v>
      </x:c>
      <x:c r="F116" t="str">
        <x:v>Intern</x:v>
      </x:c>
      <x:c r="G116" t="str">
        <x:v>Regelefterlevnad + källstöd</x:v>
      </x:c>
      <x:c r="H116" t="str">
        <x:v>Medel</x:v>
      </x:c>
      <x:c r="I116" t="str">
        <x:v>Ej testad</x:v>
      </x:c>
      <x:c r="J116"/>
      <x:c r="K116"/>
      <x:c r="L116"/>
      <x:c r="M116"/>
      <x:c r="N116" t="str">
        <x:f>IF(COUNT(J116:M116)=0,"",SUM(J116:M116))</x:f>
      </x:c>
      <x:c r="O116" t="str"/>
      <x:c r="P116" t="str"/>
      <x:c r="Q116" t="str"/>
      <x:c r="R116" t="str"/>
    </x:row>
    <x:row r="117">
      <x:c r="A117" t="str">
        <x:v>GQ-116</x:v>
      </x:c>
      <x:c r="B117" t="str">
        <x:v>Juridik</x:v>
      </x:c>
      <x:c r="C117" t="str">
        <x:v>Regelefterlevnad och informationsskydd</x:v>
      </x:c>
      <x:c r="D117" s="8" t="str">
        <x:v>Har vi dokumenterat laglig grund för vår kundkommunikation?</x:v>
      </x:c>
      <x:c r="E117" t="str">
        <x:v>Policy + avtal + gällande regler</x:v>
      </x:c>
      <x:c r="F117" t="str">
        <x:v>Intern</x:v>
      </x:c>
      <x:c r="G117" t="str">
        <x:v>Regelefterlevnad + källstöd</x:v>
      </x:c>
      <x:c r="H117" t="str">
        <x:v>Medel</x:v>
      </x:c>
      <x:c r="I117" t="str">
        <x:v>Ej testad</x:v>
      </x:c>
      <x:c r="J117"/>
      <x:c r="K117"/>
      <x:c r="L117"/>
      <x:c r="M117"/>
      <x:c r="N117" t="str">
        <x:f>IF(COUNT(J117:M117)=0,"",SUM(J117:M117))</x:f>
      </x:c>
      <x:c r="O117" t="str"/>
      <x:c r="P117" t="str"/>
      <x:c r="Q117" t="str"/>
      <x:c r="R117" t="str"/>
    </x:row>
    <x:row r="118">
      <x:c r="A118" t="str">
        <x:v>GQ-117</x:v>
      </x:c>
      <x:c r="B118" t="str">
        <x:v>Juridik</x:v>
      </x:c>
      <x:c r="C118" t="str">
        <x:v>Regelefterlevnad och informationsskydd</x:v>
      </x:c>
      <x:c r="D118" s="8" t="str">
        <x:v>Vilka leverantörer överför personuppgifter utanför EU/EES?</x:v>
      </x:c>
      <x:c r="E118" t="str">
        <x:v>Policy + avtal + gällande regler</x:v>
      </x:c>
      <x:c r="F118" t="str">
        <x:v>Intern + extern</x:v>
      </x:c>
      <x:c r="G118" t="str">
        <x:v>Regelefterlevnad + källstöd</x:v>
      </x:c>
      <x:c r="H118" t="str">
        <x:v>Medel</x:v>
      </x:c>
      <x:c r="I118" t="str">
        <x:v>Ej testad</x:v>
      </x:c>
      <x:c r="J118"/>
      <x:c r="K118"/>
      <x:c r="L118"/>
      <x:c r="M118"/>
      <x:c r="N118" t="str">
        <x:f>IF(COUNT(J118:M118)=0,"",SUM(J118:M118))</x:f>
      </x:c>
      <x:c r="O118" t="str"/>
      <x:c r="P118" t="str"/>
      <x:c r="Q118" t="str"/>
      <x:c r="R118" t="str"/>
    </x:row>
    <x:row r="119">
      <x:c r="A119" t="str">
        <x:v>GQ-118</x:v>
      </x:c>
      <x:c r="B119" t="str">
        <x:v>Juridik</x:v>
      </x:c>
      <x:c r="C119" t="str">
        <x:v>Regelefterlevnad och informationsskydd</x:v>
      </x:c>
      <x:c r="D119" s="8" t="str">
        <x:v>Vilka interna policyer behöver uppdateras efter senaste regeländring?</x:v>
      </x:c>
      <x:c r="E119" t="str">
        <x:v>Policy + avtal + gällande regler</x:v>
      </x:c>
      <x:c r="F119" t="str">
        <x:v>Intern</x:v>
      </x:c>
      <x:c r="G119" t="str">
        <x:v>Regelefterlevnad + källstöd</x:v>
      </x:c>
      <x:c r="H119" t="str">
        <x:v>Medel</x:v>
      </x:c>
      <x:c r="I119" t="str">
        <x:v>Ej testad</x:v>
      </x:c>
      <x:c r="J119"/>
      <x:c r="K119"/>
      <x:c r="L119"/>
      <x:c r="M119"/>
      <x:c r="N119" t="str">
        <x:f>IF(COUNT(J119:M119)=0,"",SUM(J119:M119))</x:f>
      </x:c>
      <x:c r="O119" t="str"/>
      <x:c r="P119" t="str"/>
      <x:c r="Q119" t="str"/>
      <x:c r="R119" t="str"/>
    </x:row>
    <x:row r="120">
      <x:c r="A120" t="str">
        <x:v>GQ-119</x:v>
      </x:c>
      <x:c r="B120" t="str">
        <x:v>Juridik</x:v>
      </x:c>
      <x:c r="C120" t="str">
        <x:v>Regelefterlevnad och informationsskydd</x:v>
      </x:c>
      <x:c r="D120" s="8" t="str">
        <x:v>Vilka avtals- och lagkrav gäller för hur länge vi sparar kunddokument?</x:v>
      </x:c>
      <x:c r="E120" t="str">
        <x:v>Policy + avtal + gällande regler</x:v>
      </x:c>
      <x:c r="F120" t="str">
        <x:v>Intern</x:v>
      </x:c>
      <x:c r="G120" t="str">
        <x:v>Regelefterlevnad + källstöd</x:v>
      </x:c>
      <x:c r="H120" t="str">
        <x:v>Medel</x:v>
      </x:c>
      <x:c r="I120" t="str">
        <x:v>Ej testad</x:v>
      </x:c>
      <x:c r="J120"/>
      <x:c r="K120"/>
      <x:c r="L120"/>
      <x:c r="M120"/>
      <x:c r="N120" t="str">
        <x:f>IF(COUNT(J120:M120)=0,"",SUM(J120:M120))</x:f>
      </x:c>
      <x:c r="O120" t="str"/>
      <x:c r="P120" t="str"/>
      <x:c r="Q120" t="str"/>
      <x:c r="R120" t="str"/>
    </x:row>
    <x:row r="121">
      <x:c r="A121" t="str">
        <x:v>GQ-120</x:v>
      </x:c>
      <x:c r="B121" t="str">
        <x:v>Juridik</x:v>
      </x:c>
      <x:c r="C121" t="str">
        <x:v>Regelefterlevnad och informationsskydd</x:v>
      </x:c>
      <x:c r="D121" s="8" t="str">
        <x:v>Kan vi visa en revisor vilka kontroller vi faktiskt har genomfört?</x:v>
      </x:c>
      <x:c r="E121" t="str">
        <x:v>Policy + avtal + gällande regler</x:v>
      </x:c>
      <x:c r="F121" t="str">
        <x:v>Intern</x:v>
      </x:c>
      <x:c r="G121" t="str">
        <x:v>Regelefterlevnad + källstöd</x:v>
      </x:c>
      <x:c r="H121" t="str">
        <x:v>Medel</x:v>
      </x:c>
      <x:c r="I121" t="str">
        <x:v>Ej testad</x:v>
      </x:c>
      <x:c r="J121"/>
      <x:c r="K121"/>
      <x:c r="L121"/>
      <x:c r="M121"/>
      <x:c r="N121" t="str">
        <x:f>IF(COUNT(J121:M121)=0,"",SUM(J121:M121))</x:f>
      </x:c>
      <x:c r="O121" t="str"/>
      <x:c r="P121" t="str"/>
      <x:c r="Q121" t="str"/>
      <x:c r="R121" t="str"/>
    </x:row>
    <x:row r="122">
      <x:c r="A122" t="str">
        <x:v>GQ-121</x:v>
      </x:c>
      <x:c r="B122" t="str">
        <x:v>Strategi</x:v>
      </x:c>
      <x:c r="C122" t="str">
        <x:v>Strategi och måluppföljning</x:v>
      </x:c>
      <x:c r="D122" s="8" t="str">
        <x:v>Ligger vi i fas med våra tre viktigaste strategiska mål?</x:v>
      </x:c>
      <x:c r="E122" t="str">
        <x:v>Strategidokument + KPI</x:v>
      </x:c>
      <x:c r="F122" t="str">
        <x:v>Intern</x:v>
      </x:c>
      <x:c r="G122" t="str">
        <x:v>Syntes</x:v>
      </x:c>
      <x:c r="H122" t="str">
        <x:v>Medel</x:v>
      </x:c>
      <x:c r="I122" t="str">
        <x:v>Ej testad</x:v>
      </x:c>
      <x:c r="J122"/>
      <x:c r="K122"/>
      <x:c r="L122"/>
      <x:c r="M122"/>
      <x:c r="N122" t="str">
        <x:f>IF(COUNT(J122:M122)=0,"",SUM(J122:M122))</x:f>
      </x:c>
      <x:c r="O122" t="str"/>
      <x:c r="P122" t="str"/>
      <x:c r="Q122" t="str"/>
      <x:c r="R122" t="str"/>
    </x:row>
    <x:row r="123">
      <x:c r="A123" t="str">
        <x:v>GQ-122</x:v>
      </x:c>
      <x:c r="B123" t="str">
        <x:v>Strategi</x:v>
      </x:c>
      <x:c r="C123" t="str">
        <x:v>Strategi och måluppföljning</x:v>
      </x:c>
      <x:c r="D123" s="8" t="str">
        <x:v>Vilka strategiska initiativ ger ännu ingen mätbar effekt?</x:v>
      </x:c>
      <x:c r="E123" t="str">
        <x:v>Strategidokument + KPI</x:v>
      </x:c>
      <x:c r="F123" t="str">
        <x:v>Intern</x:v>
      </x:c>
      <x:c r="G123" t="str">
        <x:v>Syntes</x:v>
      </x:c>
      <x:c r="H123" t="str">
        <x:v>Medel</x:v>
      </x:c>
      <x:c r="I123" t="str">
        <x:v>Ej testad</x:v>
      </x:c>
      <x:c r="J123"/>
      <x:c r="K123"/>
      <x:c r="L123"/>
      <x:c r="M123"/>
      <x:c r="N123" t="str">
        <x:f>IF(COUNT(J123:M123)=0,"",SUM(J123:M123))</x:f>
      </x:c>
      <x:c r="O123" t="str"/>
      <x:c r="P123" t="str"/>
      <x:c r="Q123" t="str"/>
      <x:c r="R123" t="str"/>
    </x:row>
    <x:row r="124">
      <x:c r="A124" t="str">
        <x:v>GQ-123</x:v>
      </x:c>
      <x:c r="B124" t="str">
        <x:v>Strategi</x:v>
      </x:c>
      <x:c r="C124" t="str">
        <x:v>Strategi och måluppföljning</x:v>
      </x:c>
      <x:c r="D124" s="8" t="str">
        <x:v>Vilka affärsområden borde vi satsa mer på nästa år?</x:v>
      </x:c>
      <x:c r="E124" t="str">
        <x:v>Strategidokument + KPI</x:v>
      </x:c>
      <x:c r="F124" t="str">
        <x:v>Intern</x:v>
      </x:c>
      <x:c r="G124" t="str">
        <x:v>Syntes</x:v>
      </x:c>
      <x:c r="H124" t="str">
        <x:v>Medel</x:v>
      </x:c>
      <x:c r="I124" t="str">
        <x:v>Ej testad</x:v>
      </x:c>
      <x:c r="J124"/>
      <x:c r="K124"/>
      <x:c r="L124"/>
      <x:c r="M124"/>
      <x:c r="N124" t="str">
        <x:f>IF(COUNT(J124:M124)=0,"",SUM(J124:M124))</x:f>
      </x:c>
      <x:c r="O124" t="str"/>
      <x:c r="P124" t="str"/>
      <x:c r="Q124" t="str"/>
      <x:c r="R124" t="str"/>
    </x:row>
    <x:row r="125">
      <x:c r="A125" t="str">
        <x:v>GQ-124</x:v>
      </x:c>
      <x:c r="B125" t="str">
        <x:v>Strategi</x:v>
      </x:c>
      <x:c r="C125" t="str">
        <x:v>Strategi och måluppföljning</x:v>
      </x:c>
      <x:c r="D125" s="8" t="str">
        <x:v>Vilka av våra antaganden om marknaden har visat sig felaktiga?</x:v>
      </x:c>
      <x:c r="E125" t="str">
        <x:v>Strategidokument + KPI</x:v>
      </x:c>
      <x:c r="F125" t="str">
        <x:v>Intern + extern</x:v>
      </x:c>
      <x:c r="G125" t="str">
        <x:v>Syntes</x:v>
      </x:c>
      <x:c r="H125" t="str">
        <x:v>Medel</x:v>
      </x:c>
      <x:c r="I125" t="str">
        <x:v>Ej testad</x:v>
      </x:c>
      <x:c r="J125"/>
      <x:c r="K125"/>
      <x:c r="L125"/>
      <x:c r="M125"/>
      <x:c r="N125" t="str">
        <x:f>IF(COUNT(J125:M125)=0,"",SUM(J125:M125))</x:f>
      </x:c>
      <x:c r="O125" t="str"/>
      <x:c r="P125" t="str"/>
      <x:c r="Q125" t="str"/>
      <x:c r="R125" t="str"/>
    </x:row>
    <x:row r="126">
      <x:c r="A126" t="str">
        <x:v>GQ-125</x:v>
      </x:c>
      <x:c r="B126" t="str">
        <x:v>Strategi</x:v>
      </x:c>
      <x:c r="C126" t="str">
        <x:v>Strategi och måluppföljning</x:v>
      </x:c>
      <x:c r="D126" s="8" t="str">
        <x:v>Vilka nya möjligheter syns i våra kunders återkommande förfrågningar?</x:v>
      </x:c>
      <x:c r="E126" t="str">
        <x:v>Strategidokument + KPI</x:v>
      </x:c>
      <x:c r="F126" t="str">
        <x:v>Intern</x:v>
      </x:c>
      <x:c r="G126" t="str">
        <x:v>Syntes</x:v>
      </x:c>
      <x:c r="H126" t="str">
        <x:v>Medel</x:v>
      </x:c>
      <x:c r="I126" t="str">
        <x:v>Ej testad</x:v>
      </x:c>
      <x:c r="J126"/>
      <x:c r="K126"/>
      <x:c r="L126"/>
      <x:c r="M126"/>
      <x:c r="N126" t="str">
        <x:f>IF(COUNT(J126:M126)=0,"",SUM(J126:M126))</x:f>
      </x:c>
      <x:c r="O126" t="str"/>
      <x:c r="P126" t="str"/>
      <x:c r="Q126" t="str"/>
      <x:c r="R126" t="str"/>
    </x:row>
    <x:row r="127">
      <x:c r="A127" t="str">
        <x:v>GQ-126</x:v>
      </x:c>
      <x:c r="B127" t="str">
        <x:v>Strategi</x:v>
      </x:c>
      <x:c r="C127" t="str">
        <x:v>Strategi och måluppföljning</x:v>
      </x:c>
      <x:c r="D127" s="8" t="str">
        <x:v>Vad måste vi sluta göra för att frigöra resurser?</x:v>
      </x:c>
      <x:c r="E127" t="str">
        <x:v>Strategidokument + KPI</x:v>
      </x:c>
      <x:c r="F127" t="str">
        <x:v>Intern</x:v>
      </x:c>
      <x:c r="G127" t="str">
        <x:v>Syntes</x:v>
      </x:c>
      <x:c r="H127" t="str">
        <x:v>Medel</x:v>
      </x:c>
      <x:c r="I127" t="str">
        <x:v>Ej testad</x:v>
      </x:c>
      <x:c r="J127"/>
      <x:c r="K127"/>
      <x:c r="L127"/>
      <x:c r="M127"/>
      <x:c r="N127" t="str">
        <x:f>IF(COUNT(J127:M127)=0,"",SUM(J127:M127))</x:f>
      </x:c>
      <x:c r="O127" t="str"/>
      <x:c r="P127" t="str"/>
      <x:c r="Q127" t="str"/>
      <x:c r="R127" t="str"/>
    </x:row>
    <x:row r="128">
      <x:c r="A128" t="str">
        <x:v>GQ-127</x:v>
      </x:c>
      <x:c r="B128" t="str">
        <x:v>Strategi</x:v>
      </x:c>
      <x:c r="C128" t="str">
        <x:v>Strategi och måluppföljning</x:v>
      </x:c>
      <x:c r="D128" s="8" t="str">
        <x:v>Hur skulle vår strategi påverkas om största kunden försvann?</x:v>
      </x:c>
      <x:c r="E128" t="str">
        <x:v>Strategidokument + KPI</x:v>
      </x:c>
      <x:c r="F128" t="str">
        <x:v>Intern</x:v>
      </x:c>
      <x:c r="G128" t="str">
        <x:v>Syntes</x:v>
      </x:c>
      <x:c r="H128" t="str">
        <x:v>Medel</x:v>
      </x:c>
      <x:c r="I128" t="str">
        <x:v>Ej testad</x:v>
      </x:c>
      <x:c r="J128"/>
      <x:c r="K128"/>
      <x:c r="L128"/>
      <x:c r="M128"/>
      <x:c r="N128" t="str">
        <x:f>IF(COUNT(J128:M128)=0,"",SUM(J128:M128))</x:f>
      </x:c>
      <x:c r="O128" t="str"/>
      <x:c r="P128" t="str"/>
      <x:c r="Q128" t="str"/>
      <x:c r="R128" t="str"/>
    </x:row>
    <x:row r="129">
      <x:c r="A129" t="str">
        <x:v>GQ-128</x:v>
      </x:c>
      <x:c r="B129" t="str">
        <x:v>Strategi</x:v>
      </x:c>
      <x:c r="C129" t="str">
        <x:v>Strategi och måluppföljning</x:v>
      </x:c>
      <x:c r="D129" s="8" t="str">
        <x:v>Vilka konkurrentförändringar kräver ett beslut från oss?</x:v>
      </x:c>
      <x:c r="E129" t="str">
        <x:v>Strategidokument + KPI</x:v>
      </x:c>
      <x:c r="F129" t="str">
        <x:v>Intern + extern</x:v>
      </x:c>
      <x:c r="G129" t="str">
        <x:v>Syntes</x:v>
      </x:c>
      <x:c r="H129" t="str">
        <x:v>Medel</x:v>
      </x:c>
      <x:c r="I129" t="str">
        <x:v>Ej testad</x:v>
      </x:c>
      <x:c r="J129"/>
      <x:c r="K129"/>
      <x:c r="L129"/>
      <x:c r="M129"/>
      <x:c r="N129" t="str">
        <x:f>IF(COUNT(J129:M129)=0,"",SUM(J129:M129))</x:f>
      </x:c>
      <x:c r="O129" t="str"/>
      <x:c r="P129" t="str"/>
      <x:c r="Q129" t="str"/>
      <x:c r="R129" t="str"/>
    </x:row>
    <x:row r="130">
      <x:c r="A130" t="str">
        <x:v>GQ-129</x:v>
      </x:c>
      <x:c r="B130" t="str">
        <x:v>Strategi</x:v>
      </x:c>
      <x:c r="C130" t="str">
        <x:v>Strategi och måluppföljning</x:v>
      </x:c>
      <x:c r="D130" s="8" t="str">
        <x:v>Hur hänger våra investeringar ihop med de mål styrelsen har beslutat?</x:v>
      </x:c>
      <x:c r="E130" t="str">
        <x:v>Strategidokument + KPI</x:v>
      </x:c>
      <x:c r="F130" t="str">
        <x:v>Intern</x:v>
      </x:c>
      <x:c r="G130" t="str">
        <x:v>Syntes</x:v>
      </x:c>
      <x:c r="H130" t="str">
        <x:v>Medel</x:v>
      </x:c>
      <x:c r="I130" t="str">
        <x:v>Ej testad</x:v>
      </x:c>
      <x:c r="J130"/>
      <x:c r="K130"/>
      <x:c r="L130"/>
      <x:c r="M130"/>
      <x:c r="N130" t="str">
        <x:f>IF(COUNT(J130:M130)=0,"",SUM(J130:M130))</x:f>
      </x:c>
      <x:c r="O130" t="str"/>
      <x:c r="P130" t="str"/>
      <x:c r="Q130" t="str"/>
      <x:c r="R130" t="str"/>
    </x:row>
    <x:row r="131">
      <x:c r="A131" t="str">
        <x:v>GQ-130</x:v>
      </x:c>
      <x:c r="B131" t="str">
        <x:v>Strategi</x:v>
      </x:c>
      <x:c r="C131" t="str">
        <x:v>Strategi och måluppföljning</x:v>
      </x:c>
      <x:c r="D131" s="8" t="str">
        <x:v>Vilka indikatorer skulle visa tidigt att strategin inte fungerar?</x:v>
      </x:c>
      <x:c r="E131" t="str">
        <x:v>Strategidokument + KPI</x:v>
      </x:c>
      <x:c r="F131" t="str">
        <x:v>Intern</x:v>
      </x:c>
      <x:c r="G131" t="str">
        <x:v>Syntes</x:v>
      </x:c>
      <x:c r="H131" t="str">
        <x:v>Medel</x:v>
      </x:c>
      <x:c r="I131" t="str">
        <x:v>Ej testad</x:v>
      </x:c>
      <x:c r="J131"/>
      <x:c r="K131"/>
      <x:c r="L131"/>
      <x:c r="M131"/>
      <x:c r="N131" t="str">
        <x:f>IF(COUNT(J131:M131)=0,"",SUM(J131:M131))</x:f>
      </x:c>
      <x:c r="O131" t="str"/>
      <x:c r="P131" t="str"/>
      <x:c r="Q131" t="str"/>
      <x:c r="R131" t="str"/>
    </x:row>
    <x:row r="132">
      <x:c r="A132" t="str">
        <x:v>GQ-131</x:v>
      </x:c>
      <x:c r="B132" t="str">
        <x:v>Strategi</x:v>
      </x:c>
      <x:c r="C132" t="str">
        <x:v>Tillväxt och expansion</x:v>
      </x:c>
      <x:c r="D132" s="8" t="str">
        <x:v>Vilka kundsegment har bäst potential för lönsam tillväxt?</x:v>
      </x:c>
      <x:c r="E132" t="str">
        <x:v>CRM + marknadsdata + budget</x:v>
      </x:c>
      <x:c r="F132" t="str">
        <x:v>Intern</x:v>
      </x:c>
      <x:c r="G132" t="str">
        <x:v>Scenario + omvärld</x:v>
      </x:c>
      <x:c r="H132" t="str">
        <x:v>Medel</x:v>
      </x:c>
      <x:c r="I132" t="str">
        <x:v>Ej testad</x:v>
      </x:c>
      <x:c r="J132"/>
      <x:c r="K132"/>
      <x:c r="L132"/>
      <x:c r="M132"/>
      <x:c r="N132" t="str">
        <x:f>IF(COUNT(J132:M132)=0,"",SUM(J132:M132))</x:f>
      </x:c>
      <x:c r="O132" t="str"/>
      <x:c r="P132" t="str"/>
      <x:c r="Q132" t="str"/>
      <x:c r="R132" t="str"/>
    </x:row>
    <x:row r="133">
      <x:c r="A133" t="str">
        <x:v>GQ-132</x:v>
      </x:c>
      <x:c r="B133" t="str">
        <x:v>Strategi</x:v>
      </x:c>
      <x:c r="C133" t="str">
        <x:v>Tillväxt och expansion</x:v>
      </x:c>
      <x:c r="D133" s="8" t="str">
        <x:v>Vad skulle det kosta att etablera oss i en ny svensk region?</x:v>
      </x:c>
      <x:c r="E133" t="str">
        <x:v>CRM + marknadsdata + budget</x:v>
      </x:c>
      <x:c r="F133" t="str">
        <x:v>Intern</x:v>
      </x:c>
      <x:c r="G133" t="str">
        <x:v>Scenario + omvärld</x:v>
      </x:c>
      <x:c r="H133" t="str">
        <x:v>Medel</x:v>
      </x:c>
      <x:c r="I133" t="str">
        <x:v>Ej testad</x:v>
      </x:c>
      <x:c r="J133"/>
      <x:c r="K133"/>
      <x:c r="L133"/>
      <x:c r="M133"/>
      <x:c r="N133" t="str">
        <x:f>IF(COUNT(J133:M133)=0,"",SUM(J133:M133))</x:f>
      </x:c>
      <x:c r="O133" t="str"/>
      <x:c r="P133" t="str"/>
      <x:c r="Q133" t="str"/>
      <x:c r="R133" t="str"/>
    </x:row>
    <x:row r="134">
      <x:c r="A134" t="str">
        <x:v>GQ-133</x:v>
      </x:c>
      <x:c r="B134" t="str">
        <x:v>Strategi</x:v>
      </x:c>
      <x:c r="C134" t="str">
        <x:v>Tillväxt och expansion</x:v>
      </x:c>
      <x:c r="D134" s="8" t="str">
        <x:v>Kan vi växa med 30 procent utan att försämra leveranskvaliteten?</x:v>
      </x:c>
      <x:c r="E134" t="str">
        <x:v>CRM + marknadsdata + budget</x:v>
      </x:c>
      <x:c r="F134" t="str">
        <x:v>Intern</x:v>
      </x:c>
      <x:c r="G134" t="str">
        <x:v>Scenario + omvärld</x:v>
      </x:c>
      <x:c r="H134" t="str">
        <x:v>Medel</x:v>
      </x:c>
      <x:c r="I134" t="str">
        <x:v>Ej testad</x:v>
      </x:c>
      <x:c r="J134"/>
      <x:c r="K134"/>
      <x:c r="L134"/>
      <x:c r="M134"/>
      <x:c r="N134" t="str">
        <x:f>IF(COUNT(J134:M134)=0,"",SUM(J134:M134))</x:f>
      </x:c>
      <x:c r="O134" t="str"/>
      <x:c r="P134" t="str"/>
      <x:c r="Q134" t="str"/>
      <x:c r="R134" t="str"/>
    </x:row>
    <x:row r="135">
      <x:c r="A135" t="str">
        <x:v>GQ-134</x:v>
      </x:c>
      <x:c r="B135" t="str">
        <x:v>Strategi</x:v>
      </x:c>
      <x:c r="C135" t="str">
        <x:v>Tillväxt och expansion</x:v>
      </x:c>
      <x:c r="D135" s="8" t="str">
        <x:v>Vilka partnerskap kan ge oss snabbare marknadstillträde?</x:v>
      </x:c>
      <x:c r="E135" t="str">
        <x:v>CRM + marknadsdata + budget</x:v>
      </x:c>
      <x:c r="F135" t="str">
        <x:v>Intern + extern</x:v>
      </x:c>
      <x:c r="G135" t="str">
        <x:v>Scenario + omvärld</x:v>
      </x:c>
      <x:c r="H135" t="str">
        <x:v>Medel</x:v>
      </x:c>
      <x:c r="I135" t="str">
        <x:v>Ej testad</x:v>
      </x:c>
      <x:c r="J135"/>
      <x:c r="K135"/>
      <x:c r="L135"/>
      <x:c r="M135"/>
      <x:c r="N135" t="str">
        <x:f>IF(COUNT(J135:M135)=0,"",SUM(J135:M135))</x:f>
      </x:c>
      <x:c r="O135" t="str"/>
      <x:c r="P135" t="str"/>
      <x:c r="Q135" t="str"/>
      <x:c r="R135" t="str"/>
    </x:row>
    <x:row r="136">
      <x:c r="A136" t="str">
        <x:v>GQ-135</x:v>
      </x:c>
      <x:c r="B136" t="str">
        <x:v>Strategi</x:v>
      </x:c>
      <x:c r="C136" t="str">
        <x:v>Tillväxt och expansion</x:v>
      </x:c>
      <x:c r="D136" s="8" t="str">
        <x:v>När skulle ett förvärv vara mer lönsamt än organisk tillväxt?</x:v>
      </x:c>
      <x:c r="E136" t="str">
        <x:v>CRM + marknadsdata + budget</x:v>
      </x:c>
      <x:c r="F136" t="str">
        <x:v>Intern + extern</x:v>
      </x:c>
      <x:c r="G136" t="str">
        <x:v>Scenario + omvärld</x:v>
      </x:c>
      <x:c r="H136" t="str">
        <x:v>Medel</x:v>
      </x:c>
      <x:c r="I136" t="str">
        <x:v>Ej testad</x:v>
      </x:c>
      <x:c r="J136"/>
      <x:c r="K136"/>
      <x:c r="L136"/>
      <x:c r="M136"/>
      <x:c r="N136" t="str">
        <x:f>IF(COUNT(J136:M136)=0,"",SUM(J136:M136))</x:f>
      </x:c>
      <x:c r="O136" t="str"/>
      <x:c r="P136" t="str"/>
      <x:c r="Q136" t="str"/>
      <x:c r="R136" t="str"/>
    </x:row>
    <x:row r="137">
      <x:c r="A137" t="str">
        <x:v>GQ-136</x:v>
      </x:c>
      <x:c r="B137" t="str">
        <x:v>Strategi</x:v>
      </x:c>
      <x:c r="C137" t="str">
        <x:v>Tillväxt och expansion</x:v>
      </x:c>
      <x:c r="D137" s="8" t="str">
        <x:v>Vilka tjänster kan vi skala utan motsvarande personalökning?</x:v>
      </x:c>
      <x:c r="E137" t="str">
        <x:v>CRM + marknadsdata + budget</x:v>
      </x:c>
      <x:c r="F137" t="str">
        <x:v>Intern</x:v>
      </x:c>
      <x:c r="G137" t="str">
        <x:v>Scenario + omvärld</x:v>
      </x:c>
      <x:c r="H137" t="str">
        <x:v>Medel</x:v>
      </x:c>
      <x:c r="I137" t="str">
        <x:v>Ej testad</x:v>
      </x:c>
      <x:c r="J137"/>
      <x:c r="K137"/>
      <x:c r="L137"/>
      <x:c r="M137"/>
      <x:c r="N137" t="str">
        <x:f>IF(COUNT(J137:M137)=0,"",SUM(J137:M137))</x:f>
      </x:c>
      <x:c r="O137" t="str"/>
      <x:c r="P137" t="str"/>
      <x:c r="Q137" t="str"/>
      <x:c r="R137" t="str"/>
    </x:row>
    <x:row r="138">
      <x:c r="A138" t="str">
        <x:v>GQ-137</x:v>
      </x:c>
      <x:c r="B138" t="str">
        <x:v>Strategi</x:v>
      </x:c>
      <x:c r="C138" t="str">
        <x:v>Tillväxt och expansion</x:v>
      </x:c>
      <x:c r="D138" s="8" t="str">
        <x:v>Vilka hinder gör att vi inte kan ta fler uppdrag idag?</x:v>
      </x:c>
      <x:c r="E138" t="str">
        <x:v>CRM + marknadsdata + budget</x:v>
      </x:c>
      <x:c r="F138" t="str">
        <x:v>Intern</x:v>
      </x:c>
      <x:c r="G138" t="str">
        <x:v>Scenario + omvärld</x:v>
      </x:c>
      <x:c r="H138" t="str">
        <x:v>Medel</x:v>
      </x:c>
      <x:c r="I138" t="str">
        <x:v>Ej testad</x:v>
      </x:c>
      <x:c r="J138"/>
      <x:c r="K138"/>
      <x:c r="L138"/>
      <x:c r="M138"/>
      <x:c r="N138" t="str">
        <x:f>IF(COUNT(J138:M138)=0,"",SUM(J138:M138))</x:f>
      </x:c>
      <x:c r="O138" t="str"/>
      <x:c r="P138" t="str"/>
      <x:c r="Q138" t="str"/>
      <x:c r="R138" t="str"/>
    </x:row>
    <x:row r="139">
      <x:c r="A139" t="str">
        <x:v>GQ-138</x:v>
      </x:c>
      <x:c r="B139" t="str">
        <x:v>Strategi</x:v>
      </x:c>
      <x:c r="C139" t="str">
        <x:v>Tillväxt och expansion</x:v>
      </x:c>
      <x:c r="D139" s="8" t="str">
        <x:v>Hur lång tid tar det innan en ny marknad blir lönsam?</x:v>
      </x:c>
      <x:c r="E139" t="str">
        <x:v>CRM + marknadsdata + budget</x:v>
      </x:c>
      <x:c r="F139" t="str">
        <x:v>Intern + extern</x:v>
      </x:c>
      <x:c r="G139" t="str">
        <x:v>Scenario + omvärld</x:v>
      </x:c>
      <x:c r="H139" t="str">
        <x:v>Medel</x:v>
      </x:c>
      <x:c r="I139" t="str">
        <x:v>Ej testad</x:v>
      </x:c>
      <x:c r="J139"/>
      <x:c r="K139"/>
      <x:c r="L139"/>
      <x:c r="M139"/>
      <x:c r="N139" t="str">
        <x:f>IF(COUNT(J139:M139)=0,"",SUM(J139:M139))</x:f>
      </x:c>
      <x:c r="O139" t="str"/>
      <x:c r="P139" t="str"/>
      <x:c r="Q139" t="str"/>
      <x:c r="R139" t="str"/>
    </x:row>
    <x:row r="140">
      <x:c r="A140" t="str">
        <x:v>GQ-139</x:v>
      </x:c>
      <x:c r="B140" t="str">
        <x:v>Strategi</x:v>
      </x:c>
      <x:c r="C140" t="str">
        <x:v>Tillväxt och expansion</x:v>
      </x:c>
      <x:c r="D140" s="8" t="str">
        <x:v>Vilka befintliga kunder kan köpa fler av våra tjänster?</x:v>
      </x:c>
      <x:c r="E140" t="str">
        <x:v>CRM + marknadsdata + budget</x:v>
      </x:c>
      <x:c r="F140" t="str">
        <x:v>Intern</x:v>
      </x:c>
      <x:c r="G140" t="str">
        <x:v>Scenario + omvärld</x:v>
      </x:c>
      <x:c r="H140" t="str">
        <x:v>Medel</x:v>
      </x:c>
      <x:c r="I140" t="str">
        <x:v>Ej testad</x:v>
      </x:c>
      <x:c r="J140"/>
      <x:c r="K140"/>
      <x:c r="L140"/>
      <x:c r="M140"/>
      <x:c r="N140" t="str">
        <x:f>IF(COUNT(J140:M140)=0,"",SUM(J140:M140))</x:f>
      </x:c>
      <x:c r="O140" t="str"/>
      <x:c r="P140" t="str"/>
      <x:c r="Q140" t="str"/>
      <x:c r="R140" t="str"/>
    </x:row>
    <x:row r="141">
      <x:c r="A141" t="str">
        <x:v>GQ-140</x:v>
      </x:c>
      <x:c r="B141" t="str">
        <x:v>Strategi</x:v>
      </x:c>
      <x:c r="C141" t="str">
        <x:v>Tillväxt och expansion</x:v>
      </x:c>
      <x:c r="D141" s="8" t="str">
        <x:v>Vilken tillväxttakt klarar vår nuvarande organisation?</x:v>
      </x:c>
      <x:c r="E141" t="str">
        <x:v>CRM + marknadsdata + budget</x:v>
      </x:c>
      <x:c r="F141" t="str">
        <x:v>Intern</x:v>
      </x:c>
      <x:c r="G141" t="str">
        <x:v>Scenario + omvärld</x:v>
      </x:c>
      <x:c r="H141" t="str">
        <x:v>Medel</x:v>
      </x:c>
      <x:c r="I141" t="str">
        <x:v>Ej testad</x:v>
      </x:c>
      <x:c r="J141"/>
      <x:c r="K141"/>
      <x:c r="L141"/>
      <x:c r="M141"/>
      <x:c r="N141" t="str">
        <x:f>IF(COUNT(J141:M141)=0,"",SUM(J141:M141))</x:f>
      </x:c>
      <x:c r="O141" t="str"/>
      <x:c r="P141" t="str"/>
      <x:c r="Q141" t="str"/>
      <x:c r="R141" t="str"/>
    </x:row>
    <x:row r="142">
      <x:c r="A142" t="str">
        <x:v>GQ-141</x:v>
      </x:c>
      <x:c r="B142" t="str">
        <x:v>Strategi</x:v>
      </x:c>
      <x:c r="C142" t="str">
        <x:v>Ägare, styrelse och investeringar</x:v>
      </x:c>
      <x:c r="D142" s="8" t="str">
        <x:v>Vilka frågor kommer styrelsen sannolikt att ställa om senaste kvartalet?</x:v>
      </x:c>
      <x:c r="E142" t="str">
        <x:v>Styrelseprotokoll + finansdata</x:v>
      </x:c>
      <x:c r="F142" t="str">
        <x:v>Intern</x:v>
      </x:c>
      <x:c r="G142" t="str">
        <x:v>Syntes + dokument</x:v>
      </x:c>
      <x:c r="H142" t="str">
        <x:v>Medel</x:v>
      </x:c>
      <x:c r="I142" t="str">
        <x:v>Ej testad</x:v>
      </x:c>
      <x:c r="J142"/>
      <x:c r="K142"/>
      <x:c r="L142"/>
      <x:c r="M142"/>
      <x:c r="N142" t="str">
        <x:f>IF(COUNT(J142:M142)=0,"",SUM(J142:M142))</x:f>
      </x:c>
      <x:c r="O142" t="str"/>
      <x:c r="P142" t="str"/>
      <x:c r="Q142" t="str"/>
      <x:c r="R142" t="str"/>
    </x:row>
    <x:row r="143">
      <x:c r="A143" t="str">
        <x:v>GQ-142</x:v>
      </x:c>
      <x:c r="B143" t="str">
        <x:v>Strategi</x:v>
      </x:c>
      <x:c r="C143" t="str">
        <x:v>Ägare, styrelse och investeringar</x:v>
      </x:c>
      <x:c r="D143" s="8" t="str">
        <x:v>Hur ser vårt företagsvärde ut under olika rimliga antaganden?</x:v>
      </x:c>
      <x:c r="E143" t="str">
        <x:v>Styrelseprotokoll + finansdata</x:v>
      </x:c>
      <x:c r="F143" t="str">
        <x:v>Intern</x:v>
      </x:c>
      <x:c r="G143" t="str">
        <x:v>Syntes + dokument</x:v>
      </x:c>
      <x:c r="H143" t="str">
        <x:v>Medel</x:v>
      </x:c>
      <x:c r="I143" t="str">
        <x:v>Ej testad</x:v>
      </x:c>
      <x:c r="J143"/>
      <x:c r="K143"/>
      <x:c r="L143"/>
      <x:c r="M143"/>
      <x:c r="N143" t="str">
        <x:f>IF(COUNT(J143:M143)=0,"",SUM(J143:M143))</x:f>
      </x:c>
      <x:c r="O143" t="str"/>
      <x:c r="P143" t="str"/>
      <x:c r="Q143" t="str"/>
      <x:c r="R143" t="str"/>
    </x:row>
    <x:row r="144">
      <x:c r="A144" t="str">
        <x:v>GQ-143</x:v>
      </x:c>
      <x:c r="B144" t="str">
        <x:v>Strategi</x:v>
      </x:c>
      <x:c r="C144" t="str">
        <x:v>Ägare, styrelse och investeringar</x:v>
      </x:c>
      <x:c r="D144" s="8" t="str">
        <x:v>Vilka nyckeltal har försämrats sedan föregående styrelsemöte?</x:v>
      </x:c>
      <x:c r="E144" t="str">
        <x:v>Styrelseprotokoll + finansdata</x:v>
      </x:c>
      <x:c r="F144" t="str">
        <x:v>Intern</x:v>
      </x:c>
      <x:c r="G144" t="str">
        <x:v>Syntes + dokument</x:v>
      </x:c>
      <x:c r="H144" t="str">
        <x:v>Medel</x:v>
      </x:c>
      <x:c r="I144" t="str">
        <x:v>Ej testad</x:v>
      </x:c>
      <x:c r="J144"/>
      <x:c r="K144"/>
      <x:c r="L144"/>
      <x:c r="M144"/>
      <x:c r="N144" t="str">
        <x:f>IF(COUNT(J144:M144)=0,"",SUM(J144:M144))</x:f>
      </x:c>
      <x:c r="O144" t="str"/>
      <x:c r="P144" t="str"/>
      <x:c r="Q144" t="str"/>
      <x:c r="R144" t="str"/>
    </x:row>
    <x:row r="145">
      <x:c r="A145" t="str">
        <x:v>GQ-144</x:v>
      </x:c>
      <x:c r="B145" t="str">
        <x:v>Strategi</x:v>
      </x:c>
      <x:c r="C145" t="str">
        <x:v>Ägare, styrelse och investeringar</x:v>
      </x:c>
      <x:c r="D145" s="8" t="str">
        <x:v>Vilka investeringar har högst förväntad avkastning?</x:v>
      </x:c>
      <x:c r="E145" t="str">
        <x:v>Styrelseprotokoll + finansdata</x:v>
      </x:c>
      <x:c r="F145" t="str">
        <x:v>Intern</x:v>
      </x:c>
      <x:c r="G145" t="str">
        <x:v>Syntes + dokument</x:v>
      </x:c>
      <x:c r="H145" t="str">
        <x:v>Medel</x:v>
      </x:c>
      <x:c r="I145" t="str">
        <x:v>Ej testad</x:v>
      </x:c>
      <x:c r="J145"/>
      <x:c r="K145"/>
      <x:c r="L145"/>
      <x:c r="M145"/>
      <x:c r="N145" t="str">
        <x:f>IF(COUNT(J145:M145)=0,"",SUM(J145:M145))</x:f>
      </x:c>
      <x:c r="O145" t="str"/>
      <x:c r="P145" t="str"/>
      <x:c r="Q145" t="str"/>
      <x:c r="R145" t="str"/>
    </x:row>
    <x:row r="146">
      <x:c r="A146" t="str">
        <x:v>GQ-145</x:v>
      </x:c>
      <x:c r="B146" t="str">
        <x:v>Strategi</x:v>
      </x:c>
      <x:c r="C146" t="str">
        <x:v>Ägare, styrelse och investeringar</x:v>
      </x:c>
      <x:c r="D146" s="8" t="str">
        <x:v>Vilka risker bör styrelsen informeras om omedelbart?</x:v>
      </x:c>
      <x:c r="E146" t="str">
        <x:v>Styrelseprotokoll + finansdata</x:v>
      </x:c>
      <x:c r="F146" t="str">
        <x:v>Intern</x:v>
      </x:c>
      <x:c r="G146" t="str">
        <x:v>Syntes + dokument</x:v>
      </x:c>
      <x:c r="H146" t="str">
        <x:v>Medel</x:v>
      </x:c>
      <x:c r="I146" t="str">
        <x:v>Ej testad</x:v>
      </x:c>
      <x:c r="J146"/>
      <x:c r="K146"/>
      <x:c r="L146"/>
      <x:c r="M146"/>
      <x:c r="N146" t="str">
        <x:f>IF(COUNT(J146:M146)=0,"",SUM(J146:M146))</x:f>
      </x:c>
      <x:c r="O146" t="str"/>
      <x:c r="P146" t="str"/>
      <x:c r="Q146" t="str"/>
      <x:c r="R146" t="str"/>
    </x:row>
    <x:row r="147">
      <x:c r="A147" t="str">
        <x:v>GQ-146</x:v>
      </x:c>
      <x:c r="B147" t="str">
        <x:v>Strategi</x:v>
      </x:c>
      <x:c r="C147" t="str">
        <x:v>Ägare, styrelse och investeringar</x:v>
      </x:c>
      <x:c r="D147" s="8" t="str">
        <x:v>Vad behöver ett investeringsunderlag för ett nytt affärsområde innehålla?</x:v>
      </x:c>
      <x:c r="E147" t="str">
        <x:v>Styrelseprotokoll + finansdata</x:v>
      </x:c>
      <x:c r="F147" t="str">
        <x:v>Intern</x:v>
      </x:c>
      <x:c r="G147" t="str">
        <x:v>Syntes + dokument</x:v>
      </x:c>
      <x:c r="H147" t="str">
        <x:v>Medel</x:v>
      </x:c>
      <x:c r="I147" t="str">
        <x:v>Ej testad</x:v>
      </x:c>
      <x:c r="J147"/>
      <x:c r="K147"/>
      <x:c r="L147"/>
      <x:c r="M147"/>
      <x:c r="N147" t="str">
        <x:f>IF(COUNT(J147:M147)=0,"",SUM(J147:M147))</x:f>
      </x:c>
      <x:c r="O147" t="str"/>
      <x:c r="P147" t="str"/>
      <x:c r="Q147" t="str"/>
      <x:c r="R147" t="str"/>
    </x:row>
    <x:row r="148">
      <x:c r="A148" t="str">
        <x:v>GQ-147</x:v>
      </x:c>
      <x:c r="B148" t="str">
        <x:v>Strategi</x:v>
      </x:c>
      <x:c r="C148" t="str">
        <x:v>Ägare, styrelse och investeringar</x:v>
      </x:c>
      <x:c r="D148" s="8" t="str">
        <x:v>Hur påverkar ett nytt delägarskap befintliga ägare?</x:v>
      </x:c>
      <x:c r="E148" t="str">
        <x:v>Styrelseprotokoll + finansdata</x:v>
      </x:c>
      <x:c r="F148" t="str">
        <x:v>Intern</x:v>
      </x:c>
      <x:c r="G148" t="str">
        <x:v>Syntes + dokument</x:v>
      </x:c>
      <x:c r="H148" t="str">
        <x:v>Medel</x:v>
      </x:c>
      <x:c r="I148" t="str">
        <x:v>Ej testad</x:v>
      </x:c>
      <x:c r="J148"/>
      <x:c r="K148"/>
      <x:c r="L148"/>
      <x:c r="M148"/>
      <x:c r="N148" t="str">
        <x:f>IF(COUNT(J148:M148)=0,"",SUM(J148:M148))</x:f>
      </x:c>
      <x:c r="O148" t="str"/>
      <x:c r="P148" t="str"/>
      <x:c r="Q148" t="str"/>
      <x:c r="R148" t="str"/>
    </x:row>
    <x:row r="149">
      <x:c r="A149" t="str">
        <x:v>GQ-148</x:v>
      </x:c>
      <x:c r="B149" t="str">
        <x:v>Strategi</x:v>
      </x:c>
      <x:c r="C149" t="str">
        <x:v>Ägare, styrelse och investeringar</x:v>
      </x:c>
      <x:c r="D149" s="8" t="str">
        <x:v>Vilka tidigare styrelsebeslut är fortfarande inte verkställda?</x:v>
      </x:c>
      <x:c r="E149" t="str">
        <x:v>Styrelseprotokoll + finansdata</x:v>
      </x:c>
      <x:c r="F149" t="str">
        <x:v>Intern</x:v>
      </x:c>
      <x:c r="G149" t="str">
        <x:v>Syntes + dokument</x:v>
      </x:c>
      <x:c r="H149" t="str">
        <x:v>Medel</x:v>
      </x:c>
      <x:c r="I149" t="str">
        <x:v>Ej testad</x:v>
      </x:c>
      <x:c r="J149"/>
      <x:c r="K149"/>
      <x:c r="L149"/>
      <x:c r="M149"/>
      <x:c r="N149" t="str">
        <x:f>IF(COUNT(J149:M149)=0,"",SUM(J149:M149))</x:f>
      </x:c>
      <x:c r="O149" t="str"/>
      <x:c r="P149" t="str"/>
      <x:c r="Q149" t="str"/>
      <x:c r="R149" t="str"/>
    </x:row>
    <x:row r="150">
      <x:c r="A150" t="str">
        <x:v>GQ-149</x:v>
      </x:c>
      <x:c r="B150" t="str">
        <x:v>Strategi</x:v>
      </x:c>
      <x:c r="C150" t="str">
        <x:v>Ägare, styrelse och investeringar</x:v>
      </x:c>
      <x:c r="D150" s="8" t="str">
        <x:v>Hur har avkastningen på våra större investeringar utvecklats?</x:v>
      </x:c>
      <x:c r="E150" t="str">
        <x:v>Styrelseprotokoll + finansdata</x:v>
      </x:c>
      <x:c r="F150" t="str">
        <x:v>Intern</x:v>
      </x:c>
      <x:c r="G150" t="str">
        <x:v>Syntes + dokument</x:v>
      </x:c>
      <x:c r="H150" t="str">
        <x:v>Medel</x:v>
      </x:c>
      <x:c r="I150" t="str">
        <x:v>Ej testad</x:v>
      </x:c>
      <x:c r="J150"/>
      <x:c r="K150"/>
      <x:c r="L150"/>
      <x:c r="M150"/>
      <x:c r="N150" t="str">
        <x:f>IF(COUNT(J150:M150)=0,"",SUM(J150:M150))</x:f>
      </x:c>
      <x:c r="O150" t="str"/>
      <x:c r="P150" t="str"/>
      <x:c r="Q150" t="str"/>
      <x:c r="R150" t="str"/>
    </x:row>
    <x:row r="151">
      <x:c r="A151" t="str">
        <x:v>GQ-150</x:v>
      </x:c>
      <x:c r="B151" t="str">
        <x:v>Strategi</x:v>
      </x:c>
      <x:c r="C151" t="str">
        <x:v>Ägare, styrelse och investeringar</x:v>
      </x:c>
      <x:c r="D151" s="8" t="str">
        <x:v>Vad är de viktigaste argumenten för och emot en utdelning i år?</x:v>
      </x:c>
      <x:c r="E151" t="str">
        <x:v>Styrelseprotokoll + finansdata</x:v>
      </x:c>
      <x:c r="F151" t="str">
        <x:v>Intern</x:v>
      </x:c>
      <x:c r="G151" t="str">
        <x:v>Syntes + dokument</x:v>
      </x:c>
      <x:c r="H151" t="str">
        <x:v>Medel</x:v>
      </x:c>
      <x:c r="I151" t="str">
        <x:v>Ej testad</x:v>
      </x:c>
      <x:c r="J151"/>
      <x:c r="K151"/>
      <x:c r="L151"/>
      <x:c r="M151"/>
      <x:c r="N151" t="str">
        <x:f>IF(COUNT(J151:M151)=0,"",SUM(J151:M151))</x:f>
      </x:c>
      <x:c r="O151" t="str"/>
      <x:c r="P151" t="str"/>
      <x:c r="Q151" t="str"/>
      <x:c r="R151" t="str"/>
    </x:row>
    <x:row r="152">
      <x:c r="A152" t="str">
        <x:v>GQ-151</x:v>
      </x:c>
      <x:c r="B152" t="str">
        <x:v>Verksamhet</x:v>
      </x:c>
      <x:c r="C152" t="str">
        <x:v>Leverans och projekt</x:v>
      </x:c>
      <x:c r="D152" s="8" t="str">
        <x:v>Vilka pågående projekt riskerar att bli försenade?</x:v>
      </x:c>
      <x:c r="E152" t="str">
        <x:v>Projektverktyg + tidrapport</x:v>
      </x:c>
      <x:c r="F152" t="str">
        <x:v>Intern</x:v>
      </x:c>
      <x:c r="G152" t="str">
        <x:v>Flera källor</x:v>
      </x:c>
      <x:c r="H152" t="str">
        <x:v>Enkel</x:v>
      </x:c>
      <x:c r="I152" t="str">
        <x:v>Ej testad</x:v>
      </x:c>
      <x:c r="J152"/>
      <x:c r="K152"/>
      <x:c r="L152"/>
      <x:c r="M152"/>
      <x:c r="N152" t="str">
        <x:f>IF(COUNT(J152:M152)=0,"",SUM(J152:M152))</x:f>
      </x:c>
      <x:c r="O152" t="str"/>
      <x:c r="P152" t="str"/>
      <x:c r="Q152" t="str"/>
      <x:c r="R152" t="str"/>
    </x:row>
    <x:row r="153">
      <x:c r="A153" t="str">
        <x:v>GQ-152</x:v>
      </x:c>
      <x:c r="B153" t="str">
        <x:v>Verksamhet</x:v>
      </x:c>
      <x:c r="C153" t="str">
        <x:v>Leverans och projekt</x:v>
      </x:c>
      <x:c r="D153" s="8" t="str">
        <x:v>Vilka uppdrag överskrider budgeterad tid just nu?</x:v>
      </x:c>
      <x:c r="E153" t="str">
        <x:v>Projektverktyg + tidrapport</x:v>
      </x:c>
      <x:c r="F153" t="str">
        <x:v>Intern</x:v>
      </x:c>
      <x:c r="G153" t="str">
        <x:v>Flera källor</x:v>
      </x:c>
      <x:c r="H153" t="str">
        <x:v>Enkel</x:v>
      </x:c>
      <x:c r="I153" t="str">
        <x:v>Ej testad</x:v>
      </x:c>
      <x:c r="J153"/>
      <x:c r="K153"/>
      <x:c r="L153"/>
      <x:c r="M153"/>
      <x:c r="N153" t="str">
        <x:f>IF(COUNT(J153:M153)=0,"",SUM(J153:M153))</x:f>
      </x:c>
      <x:c r="O153" t="str"/>
      <x:c r="P153" t="str"/>
      <x:c r="Q153" t="str"/>
      <x:c r="R153" t="str"/>
    </x:row>
    <x:row r="154">
      <x:c r="A154" t="str">
        <x:v>GQ-153</x:v>
      </x:c>
      <x:c r="B154" t="str">
        <x:v>Verksamhet</x:v>
      </x:c>
      <x:c r="C154" t="str">
        <x:v>Leverans och projekt</x:v>
      </x:c>
      <x:c r="D154" s="8" t="str">
        <x:v>Vilka leveranser är beroende av samma nyckelperson?</x:v>
      </x:c>
      <x:c r="E154" t="str">
        <x:v>Projektverktyg + tidrapport</x:v>
      </x:c>
      <x:c r="F154" t="str">
        <x:v>Intern</x:v>
      </x:c>
      <x:c r="G154" t="str">
        <x:v>Flera källor</x:v>
      </x:c>
      <x:c r="H154" t="str">
        <x:v>Enkel</x:v>
      </x:c>
      <x:c r="I154" t="str">
        <x:v>Ej testad</x:v>
      </x:c>
      <x:c r="J154"/>
      <x:c r="K154"/>
      <x:c r="L154"/>
      <x:c r="M154"/>
      <x:c r="N154" t="str">
        <x:f>IF(COUNT(J154:M154)=0,"",SUM(J154:M154))</x:f>
      </x:c>
      <x:c r="O154" t="str"/>
      <x:c r="P154" t="str"/>
      <x:c r="Q154" t="str"/>
      <x:c r="R154" t="str"/>
    </x:row>
    <x:row r="155">
      <x:c r="A155" t="str">
        <x:v>GQ-154</x:v>
      </x:c>
      <x:c r="B155" t="str">
        <x:v>Verksamhet</x:v>
      </x:c>
      <x:c r="C155" t="str">
        <x:v>Leverans och projekt</x:v>
      </x:c>
      <x:c r="D155" s="8" t="str">
        <x:v>Vilka kundlöften riskerar vi att missa denna månad?</x:v>
      </x:c>
      <x:c r="E155" t="str">
        <x:v>Projektverktyg + tidrapport</x:v>
      </x:c>
      <x:c r="F155" t="str">
        <x:v>Intern</x:v>
      </x:c>
      <x:c r="G155" t="str">
        <x:v>Flera källor</x:v>
      </x:c>
      <x:c r="H155" t="str">
        <x:v>Medel</x:v>
      </x:c>
      <x:c r="I155" t="str">
        <x:v>Ej testad</x:v>
      </x:c>
      <x:c r="J155"/>
      <x:c r="K155"/>
      <x:c r="L155"/>
      <x:c r="M155"/>
      <x:c r="N155" t="str">
        <x:f>IF(COUNT(J155:M155)=0,"",SUM(J155:M155))</x:f>
      </x:c>
      <x:c r="O155" t="str"/>
      <x:c r="P155" t="str"/>
      <x:c r="Q155" t="str"/>
      <x:c r="R155" t="str"/>
    </x:row>
    <x:row r="156">
      <x:c r="A156" t="str">
        <x:v>GQ-155</x:v>
      </x:c>
      <x:c r="B156" t="str">
        <x:v>Verksamhet</x:v>
      </x:c>
      <x:c r="C156" t="str">
        <x:v>Leverans och projekt</x:v>
      </x:c>
      <x:c r="D156" s="8" t="str">
        <x:v>Varför blev förra månadens största projekt olönsamt?</x:v>
      </x:c>
      <x:c r="E156" t="str">
        <x:v>Projektverktyg + tidrapport</x:v>
      </x:c>
      <x:c r="F156" t="str">
        <x:v>Intern</x:v>
      </x:c>
      <x:c r="G156" t="str">
        <x:v>Flera källor</x:v>
      </x:c>
      <x:c r="H156" t="str">
        <x:v>Medel</x:v>
      </x:c>
      <x:c r="I156" t="str">
        <x:v>Ej testad</x:v>
      </x:c>
      <x:c r="J156"/>
      <x:c r="K156"/>
      <x:c r="L156"/>
      <x:c r="M156"/>
      <x:c r="N156" t="str">
        <x:f>IF(COUNT(J156:M156)=0,"",SUM(J156:M156))</x:f>
      </x:c>
      <x:c r="O156" t="str"/>
      <x:c r="P156" t="str"/>
      <x:c r="Q156" t="str"/>
      <x:c r="R156" t="str"/>
    </x:row>
    <x:row r="157">
      <x:c r="A157" t="str">
        <x:v>GQ-156</x:v>
      </x:c>
      <x:c r="B157" t="str">
        <x:v>Verksamhet</x:v>
      </x:c>
      <x:c r="C157" t="str">
        <x:v>Leverans och projekt</x:v>
      </x:c>
      <x:c r="D157" s="8" t="str">
        <x:v>Vilka projekt har högst andel omarbete?</x:v>
      </x:c>
      <x:c r="E157" t="str">
        <x:v>Projektverktyg + tidrapport</x:v>
      </x:c>
      <x:c r="F157" t="str">
        <x:v>Intern</x:v>
      </x:c>
      <x:c r="G157" t="str">
        <x:v>Flera källor</x:v>
      </x:c>
      <x:c r="H157" t="str">
        <x:v>Medel</x:v>
      </x:c>
      <x:c r="I157" t="str">
        <x:v>Ej testad</x:v>
      </x:c>
      <x:c r="J157"/>
      <x:c r="K157"/>
      <x:c r="L157"/>
      <x:c r="M157"/>
      <x:c r="N157" t="str">
        <x:f>IF(COUNT(J157:M157)=0,"",SUM(J157:M157))</x:f>
      </x:c>
      <x:c r="O157" t="str"/>
      <x:c r="P157" t="str"/>
      <x:c r="Q157" t="str"/>
      <x:c r="R157" t="str"/>
    </x:row>
    <x:row r="158">
      <x:c r="A158" t="str">
        <x:v>GQ-157</x:v>
      </x:c>
      <x:c r="B158" t="str">
        <x:v>Verksamhet</x:v>
      </x:c>
      <x:c r="C158" t="str">
        <x:v>Leverans och projekt</x:v>
      </x:c>
      <x:c r="D158" s="8" t="str">
        <x:v>Vad är den verkliga beläggningsgraden per team?</x:v>
      </x:c>
      <x:c r="E158" t="str">
        <x:v>Projektverktyg + tidrapport</x:v>
      </x:c>
      <x:c r="F158" t="str">
        <x:v>Intern</x:v>
      </x:c>
      <x:c r="G158" t="str">
        <x:v>Flera källor</x:v>
      </x:c>
      <x:c r="H158" t="str">
        <x:v>Medel</x:v>
      </x:c>
      <x:c r="I158" t="str">
        <x:v>Ej testad</x:v>
      </x:c>
      <x:c r="J158"/>
      <x:c r="K158"/>
      <x:c r="L158"/>
      <x:c r="M158"/>
      <x:c r="N158" t="str">
        <x:f>IF(COUNT(J158:M158)=0,"",SUM(J158:M158))</x:f>
      </x:c>
      <x:c r="O158" t="str"/>
      <x:c r="P158" t="str"/>
      <x:c r="Q158" t="str"/>
      <x:c r="R158" t="str"/>
    </x:row>
    <x:row r="159">
      <x:c r="A159" t="str">
        <x:v>GQ-158</x:v>
      </x:c>
      <x:c r="B159" t="str">
        <x:v>Verksamhet</x:v>
      </x:c>
      <x:c r="C159" t="str">
        <x:v>Leverans och projekt</x:v>
      </x:c>
      <x:c r="D159" s="8" t="str">
        <x:v>Vilka återkommande hinder rapporteras i projektmöten?</x:v>
      </x:c>
      <x:c r="E159" t="str">
        <x:v>Projektverktyg + tidrapport</x:v>
      </x:c>
      <x:c r="F159" t="str">
        <x:v>Intern</x:v>
      </x:c>
      <x:c r="G159" t="str">
        <x:v>Flera källor</x:v>
      </x:c>
      <x:c r="H159" t="str">
        <x:v>Medel</x:v>
      </x:c>
      <x:c r="I159" t="str">
        <x:v>Ej testad</x:v>
      </x:c>
      <x:c r="J159"/>
      <x:c r="K159"/>
      <x:c r="L159"/>
      <x:c r="M159"/>
      <x:c r="N159" t="str">
        <x:f>IF(COUNT(J159:M159)=0,"",SUM(J159:M159))</x:f>
      </x:c>
      <x:c r="O159" t="str"/>
      <x:c r="P159" t="str"/>
      <x:c r="Q159" t="str"/>
      <x:c r="R159" t="str"/>
    </x:row>
    <x:row r="160">
      <x:c r="A160" t="str">
        <x:v>GQ-159</x:v>
      </x:c>
      <x:c r="B160" t="str">
        <x:v>Verksamhet</x:v>
      </x:c>
      <x:c r="C160" t="str">
        <x:v>Leverans och projekt</x:v>
      </x:c>
      <x:c r="D160" s="8" t="str">
        <x:v>Vilka åtgärder kan frigöra mest leveranskapacitet?</x:v>
      </x:c>
      <x:c r="E160" t="str">
        <x:v>Projektverktyg + tidrapport</x:v>
      </x:c>
      <x:c r="F160" t="str">
        <x:v>Intern</x:v>
      </x:c>
      <x:c r="G160" t="str">
        <x:v>Flera källor</x:v>
      </x:c>
      <x:c r="H160" t="str">
        <x:v>Medel</x:v>
      </x:c>
      <x:c r="I160" t="str">
        <x:v>Ej testad</x:v>
      </x:c>
      <x:c r="J160"/>
      <x:c r="K160"/>
      <x:c r="L160"/>
      <x:c r="M160"/>
      <x:c r="N160" t="str">
        <x:f>IF(COUNT(J160:M160)=0,"",SUM(J160:M160))</x:f>
      </x:c>
      <x:c r="O160" t="str"/>
      <x:c r="P160" t="str"/>
      <x:c r="Q160" t="str"/>
      <x:c r="R160" t="str"/>
    </x:row>
    <x:row r="161">
      <x:c r="A161" t="str">
        <x:v>GQ-160</x:v>
      </x:c>
      <x:c r="B161" t="str">
        <x:v>Verksamhet</x:v>
      </x:c>
      <x:c r="C161" t="str">
        <x:v>Leverans och projekt</x:v>
      </x:c>
      <x:c r="D161" s="8" t="str">
        <x:v>Vilka projekt bör eskaleras till ledningen idag?</x:v>
      </x:c>
      <x:c r="E161" t="str">
        <x:v>Projektverktyg + tidrapport</x:v>
      </x:c>
      <x:c r="F161" t="str">
        <x:v>Intern</x:v>
      </x:c>
      <x:c r="G161" t="str">
        <x:v>Flera källor</x:v>
      </x:c>
      <x:c r="H161" t="str">
        <x:v>Medel</x:v>
      </x:c>
      <x:c r="I161" t="str">
        <x:v>Ej testad</x:v>
      </x:c>
      <x:c r="J161"/>
      <x:c r="K161"/>
      <x:c r="L161"/>
      <x:c r="M161"/>
      <x:c r="N161" t="str">
        <x:f>IF(COUNT(J161:M161)=0,"",SUM(J161:M161))</x:f>
      </x:c>
      <x:c r="O161" t="str"/>
      <x:c r="P161" t="str"/>
      <x:c r="Q161" t="str"/>
      <x:c r="R161" t="str"/>
    </x:row>
    <x:row r="162">
      <x:c r="A162" t="str">
        <x:v>GQ-161</x:v>
      </x:c>
      <x:c r="B162" t="str">
        <x:v>Verksamhet</x:v>
      </x:c>
      <x:c r="C162" t="str">
        <x:v>Inköp och leverantörer</x:v>
      </x:c>
      <x:c r="D162" s="8" t="str">
        <x:v>Vilka fem leverantörer står för störst del av våra inköp?</x:v>
      </x:c>
      <x:c r="E162" t="str">
        <x:v>Inköpsdata + avtal</x:v>
      </x:c>
      <x:c r="F162" t="str">
        <x:v>Intern</x:v>
      </x:c>
      <x:c r="G162" t="str">
        <x:v>Sammanställning + jämförelse</x:v>
      </x:c>
      <x:c r="H162" t="str">
        <x:v>Enkel</x:v>
      </x:c>
      <x:c r="I162" t="str">
        <x:v>Ej testad</x:v>
      </x:c>
      <x:c r="J162"/>
      <x:c r="K162"/>
      <x:c r="L162"/>
      <x:c r="M162"/>
      <x:c r="N162" t="str">
        <x:f>IF(COUNT(J162:M162)=0,"",SUM(J162:M162))</x:f>
      </x:c>
      <x:c r="O162" t="str"/>
      <x:c r="P162" t="str"/>
      <x:c r="Q162" t="str"/>
      <x:c r="R162" t="str"/>
    </x:row>
    <x:row r="163">
      <x:c r="A163" t="str">
        <x:v>GQ-162</x:v>
      </x:c>
      <x:c r="B163" t="str">
        <x:v>Verksamhet</x:v>
      </x:c>
      <x:c r="C163" t="str">
        <x:v>Inköp och leverantörer</x:v>
      </x:c>
      <x:c r="D163" s="8" t="str">
        <x:v>Vilka inköpsavtal löper snart ut och behöver omförhandlas?</x:v>
      </x:c>
      <x:c r="E163" t="str">
        <x:v>Inköpsdata + avtal</x:v>
      </x:c>
      <x:c r="F163" t="str">
        <x:v>Intern</x:v>
      </x:c>
      <x:c r="G163" t="str">
        <x:v>Sammanställning + jämförelse</x:v>
      </x:c>
      <x:c r="H163" t="str">
        <x:v>Enkel</x:v>
      </x:c>
      <x:c r="I163" t="str">
        <x:v>Ej testad</x:v>
      </x:c>
      <x:c r="J163"/>
      <x:c r="K163"/>
      <x:c r="L163"/>
      <x:c r="M163"/>
      <x:c r="N163" t="str">
        <x:f>IF(COUNT(J163:M163)=0,"",SUM(J163:M163))</x:f>
      </x:c>
      <x:c r="O163" t="str"/>
      <x:c r="P163" t="str"/>
      <x:c r="Q163" t="str"/>
      <x:c r="R163" t="str"/>
    </x:row>
    <x:row r="164">
      <x:c r="A164" t="str">
        <x:v>GQ-163</x:v>
      </x:c>
      <x:c r="B164" t="str">
        <x:v>Verksamhet</x:v>
      </x:c>
      <x:c r="C164" t="str">
        <x:v>Inköp och leverantörer</x:v>
      </x:c>
      <x:c r="D164" s="8" t="str">
        <x:v>Har vi onödigt många verktyg som löser samma problem?</x:v>
      </x:c>
      <x:c r="E164" t="str">
        <x:v>Inköpsdata + avtal</x:v>
      </x:c>
      <x:c r="F164" t="str">
        <x:v>Intern</x:v>
      </x:c>
      <x:c r="G164" t="str">
        <x:v>Sammanställning + jämförelse</x:v>
      </x:c>
      <x:c r="H164" t="str">
        <x:v>Enkel</x:v>
      </x:c>
      <x:c r="I164" t="str">
        <x:v>Ej testad</x:v>
      </x:c>
      <x:c r="J164"/>
      <x:c r="K164"/>
      <x:c r="L164"/>
      <x:c r="M164"/>
      <x:c r="N164" t="str">
        <x:f>IF(COUNT(J164:M164)=0,"",SUM(J164:M164))</x:f>
      </x:c>
      <x:c r="O164" t="str"/>
      <x:c r="P164" t="str"/>
      <x:c r="Q164" t="str"/>
      <x:c r="R164" t="str"/>
    </x:row>
    <x:row r="165">
      <x:c r="A165" t="str">
        <x:v>GQ-164</x:v>
      </x:c>
      <x:c r="B165" t="str">
        <x:v>Verksamhet</x:v>
      </x:c>
      <x:c r="C165" t="str">
        <x:v>Inköp och leverantörer</x:v>
      </x:c>
      <x:c r="D165" s="8" t="str">
        <x:v>Hur beroende är vi av enskilda underleverantörer?</x:v>
      </x:c>
      <x:c r="E165" t="str">
        <x:v>Inköpsdata + avtal</x:v>
      </x:c>
      <x:c r="F165" t="str">
        <x:v>Intern</x:v>
      </x:c>
      <x:c r="G165" t="str">
        <x:v>Sammanställning + jämförelse</x:v>
      </x:c>
      <x:c r="H165" t="str">
        <x:v>Medel</x:v>
      </x:c>
      <x:c r="I165" t="str">
        <x:v>Ej testad</x:v>
      </x:c>
      <x:c r="J165"/>
      <x:c r="K165"/>
      <x:c r="L165"/>
      <x:c r="M165"/>
      <x:c r="N165" t="str">
        <x:f>IF(COUNT(J165:M165)=0,"",SUM(J165:M165))</x:f>
      </x:c>
      <x:c r="O165" t="str"/>
      <x:c r="P165" t="str"/>
      <x:c r="Q165" t="str"/>
      <x:c r="R165" t="str"/>
    </x:row>
    <x:row r="166">
      <x:c r="A166" t="str">
        <x:v>GQ-165</x:v>
      </x:c>
      <x:c r="B166" t="str">
        <x:v>Verksamhet</x:v>
      </x:c>
      <x:c r="C166" t="str">
        <x:v>Inköp och leverantörer</x:v>
      </x:c>
      <x:c r="D166" s="8" t="str">
        <x:v>Vilka leverantörer har ofta sena eller felaktiga leveranser?</x:v>
      </x:c>
      <x:c r="E166" t="str">
        <x:v>Inköpsdata + avtal</x:v>
      </x:c>
      <x:c r="F166" t="str">
        <x:v>Intern</x:v>
      </x:c>
      <x:c r="G166" t="str">
        <x:v>Sammanställning + jämförelse</x:v>
      </x:c>
      <x:c r="H166" t="str">
        <x:v>Medel</x:v>
      </x:c>
      <x:c r="I166" t="str">
        <x:v>Ej testad</x:v>
      </x:c>
      <x:c r="J166"/>
      <x:c r="K166"/>
      <x:c r="L166"/>
      <x:c r="M166"/>
      <x:c r="N166" t="str">
        <x:f>IF(COUNT(J166:M166)=0,"",SUM(J166:M166))</x:f>
      </x:c>
      <x:c r="O166" t="str"/>
      <x:c r="P166" t="str"/>
      <x:c r="Q166" t="str"/>
      <x:c r="R166" t="str"/>
    </x:row>
    <x:row r="167">
      <x:c r="A167" t="str">
        <x:v>GQ-166</x:v>
      </x:c>
      <x:c r="B167" t="str">
        <x:v>Verksamhet</x:v>
      </x:c>
      <x:c r="C167" t="str">
        <x:v>Inköp och leverantörer</x:v>
      </x:c>
      <x:c r="D167" s="8" t="str">
        <x:v>Hur mycket skulle vi spara genom samordnade inköp?</x:v>
      </x:c>
      <x:c r="E167" t="str">
        <x:v>Inköpsdata + avtal</x:v>
      </x:c>
      <x:c r="F167" t="str">
        <x:v>Intern</x:v>
      </x:c>
      <x:c r="G167" t="str">
        <x:v>Sammanställning + jämförelse</x:v>
      </x:c>
      <x:c r="H167" t="str">
        <x:v>Medel</x:v>
      </x:c>
      <x:c r="I167" t="str">
        <x:v>Ej testad</x:v>
      </x:c>
      <x:c r="J167"/>
      <x:c r="K167"/>
      <x:c r="L167"/>
      <x:c r="M167"/>
      <x:c r="N167" t="str">
        <x:f>IF(COUNT(J167:M167)=0,"",SUM(J167:M167))</x:f>
      </x:c>
      <x:c r="O167" t="str"/>
      <x:c r="P167" t="str"/>
      <x:c r="Q167" t="str"/>
      <x:c r="R167" t="str"/>
    </x:row>
    <x:row r="168">
      <x:c r="A168" t="str">
        <x:v>GQ-167</x:v>
      </x:c>
      <x:c r="B168" t="str">
        <x:v>Verksamhet</x:v>
      </x:c>
      <x:c r="C168" t="str">
        <x:v>Inköp och leverantörer</x:v>
      </x:c>
      <x:c r="D168" s="8" t="str">
        <x:v>Vilka kostnader saknar ett tydligt inköpsgodkännande?</x:v>
      </x:c>
      <x:c r="E168" t="str">
        <x:v>Inköpsdata + avtal</x:v>
      </x:c>
      <x:c r="F168" t="str">
        <x:v>Intern</x:v>
      </x:c>
      <x:c r="G168" t="str">
        <x:v>Sammanställning + jämförelse</x:v>
      </x:c>
      <x:c r="H168" t="str">
        <x:v>Medel</x:v>
      </x:c>
      <x:c r="I168" t="str">
        <x:v>Ej testad</x:v>
      </x:c>
      <x:c r="J168"/>
      <x:c r="K168"/>
      <x:c r="L168"/>
      <x:c r="M168"/>
      <x:c r="N168" t="str">
        <x:f>IF(COUNT(J168:M168)=0,"",SUM(J168:M168))</x:f>
      </x:c>
      <x:c r="O168" t="str"/>
      <x:c r="P168" t="str"/>
      <x:c r="Q168" t="str"/>
      <x:c r="R168" t="str"/>
    </x:row>
    <x:row r="169">
      <x:c r="A169" t="str">
        <x:v>GQ-168</x:v>
      </x:c>
      <x:c r="B169" t="str">
        <x:v>Verksamhet</x:v>
      </x:c>
      <x:c r="C169" t="str">
        <x:v>Inköp och leverantörer</x:v>
      </x:c>
      <x:c r="D169" s="8" t="str">
        <x:v>Har vi leverantörer som inte uppfyller våra säkerhetskrav?</x:v>
      </x:c>
      <x:c r="E169" t="str">
        <x:v>Inköpsdata + avtal</x:v>
      </x:c>
      <x:c r="F169" t="str">
        <x:v>Intern</x:v>
      </x:c>
      <x:c r="G169" t="str">
        <x:v>Sammanställning + jämförelse</x:v>
      </x:c>
      <x:c r="H169" t="str">
        <x:v>Medel</x:v>
      </x:c>
      <x:c r="I169" t="str">
        <x:v>Ej testad</x:v>
      </x:c>
      <x:c r="J169"/>
      <x:c r="K169"/>
      <x:c r="L169"/>
      <x:c r="M169"/>
      <x:c r="N169" t="str">
        <x:f>IF(COUNT(J169:M169)=0,"",SUM(J169:M169))</x:f>
      </x:c>
      <x:c r="O169" t="str"/>
      <x:c r="P169" t="str"/>
      <x:c r="Q169" t="str"/>
      <x:c r="R169" t="str"/>
    </x:row>
    <x:row r="170">
      <x:c r="A170" t="str">
        <x:v>GQ-169</x:v>
      </x:c>
      <x:c r="B170" t="str">
        <x:v>Verksamhet</x:v>
      </x:c>
      <x:c r="C170" t="str">
        <x:v>Inköp och leverantörer</x:v>
      </x:c>
      <x:c r="D170" s="8" t="str">
        <x:v>Vilka inköp behöver godkännas under nästa månad?</x:v>
      </x:c>
      <x:c r="E170" t="str">
        <x:v>Inköpsdata + avtal</x:v>
      </x:c>
      <x:c r="F170" t="str">
        <x:v>Intern</x:v>
      </x:c>
      <x:c r="G170" t="str">
        <x:v>Sammanställning + jämförelse</x:v>
      </x:c>
      <x:c r="H170" t="str">
        <x:v>Medel</x:v>
      </x:c>
      <x:c r="I170" t="str">
        <x:v>Ej testad</x:v>
      </x:c>
      <x:c r="J170"/>
      <x:c r="K170"/>
      <x:c r="L170"/>
      <x:c r="M170"/>
      <x:c r="N170" t="str">
        <x:f>IF(COUNT(J170:M170)=0,"",SUM(J170:M170))</x:f>
      </x:c>
      <x:c r="O170" t="str"/>
      <x:c r="P170" t="str"/>
      <x:c r="Q170" t="str"/>
      <x:c r="R170" t="str"/>
    </x:row>
    <x:row r="171">
      <x:c r="A171" t="str">
        <x:v>GQ-170</x:v>
      </x:c>
      <x:c r="B171" t="str">
        <x:v>Verksamhet</x:v>
      </x:c>
      <x:c r="C171" t="str">
        <x:v>Inköp och leverantörer</x:v>
      </x:c>
      <x:c r="D171" s="8" t="str">
        <x:v>Vilken alternativ leverantör kan vi använda om en kritisk tjänst försvinner?</x:v>
      </x:c>
      <x:c r="E171" t="str">
        <x:v>Inköpsdata + avtal</x:v>
      </x:c>
      <x:c r="F171" t="str">
        <x:v>Intern</x:v>
      </x:c>
      <x:c r="G171" t="str">
        <x:v>Sammanställning + jämförelse</x:v>
      </x:c>
      <x:c r="H171" t="str">
        <x:v>Medel</x:v>
      </x:c>
      <x:c r="I171" t="str">
        <x:v>Ej testad</x:v>
      </x:c>
      <x:c r="J171"/>
      <x:c r="K171"/>
      <x:c r="L171"/>
      <x:c r="M171"/>
      <x:c r="N171" t="str">
        <x:f>IF(COUNT(J171:M171)=0,"",SUM(J171:M171))</x:f>
      </x:c>
      <x:c r="O171" t="str"/>
      <x:c r="P171" t="str"/>
      <x:c r="Q171" t="str"/>
      <x:c r="R171" t="str"/>
    </x:row>
    <x:row r="172">
      <x:c r="A172" t="str">
        <x:v>GQ-171</x:v>
      </x:c>
      <x:c r="B172" t="str">
        <x:v>Verksamhet</x:v>
      </x:c>
      <x:c r="C172" t="str">
        <x:v>IT, data och AI</x:v>
      </x:c>
      <x:c r="D172" s="8" t="str">
        <x:v>Vilka verksamhetskritiska system saknar fungerande reservrutin?</x:v>
      </x:c>
      <x:c r="E172" t="str">
        <x:v>IT-loggar + kostnadsdata + policy</x:v>
      </x:c>
      <x:c r="F172" t="str">
        <x:v>Intern</x:v>
      </x:c>
      <x:c r="G172" t="str">
        <x:v>Tekniska verktyg + analys</x:v>
      </x:c>
      <x:c r="H172" t="str">
        <x:v>Medel</x:v>
      </x:c>
      <x:c r="I172" t="str">
        <x:v>Ej testad</x:v>
      </x:c>
      <x:c r="J172"/>
      <x:c r="K172"/>
      <x:c r="L172"/>
      <x:c r="M172"/>
      <x:c r="N172" t="str">
        <x:f>IF(COUNT(J172:M172)=0,"",SUM(J172:M172))</x:f>
      </x:c>
      <x:c r="O172" t="str"/>
      <x:c r="P172" t="str"/>
      <x:c r="Q172" t="str"/>
      <x:c r="R172" t="str"/>
    </x:row>
    <x:row r="173">
      <x:c r="A173" t="str">
        <x:v>GQ-172</x:v>
      </x:c>
      <x:c r="B173" t="str">
        <x:v>Verksamhet</x:v>
      </x:c>
      <x:c r="C173" t="str">
        <x:v>IT, data och AI</x:v>
      </x:c>
      <x:c r="D173" s="8" t="str">
        <x:v>Vilka integrationer går ofta sönder och påverkar verksamheten?</x:v>
      </x:c>
      <x:c r="E173" t="str">
        <x:v>IT-loggar + kostnadsdata + policy</x:v>
      </x:c>
      <x:c r="F173" t="str">
        <x:v>Intern</x:v>
      </x:c>
      <x:c r="G173" t="str">
        <x:v>Tekniska verktyg + analys</x:v>
      </x:c>
      <x:c r="H173" t="str">
        <x:v>Medel</x:v>
      </x:c>
      <x:c r="I173" t="str">
        <x:v>Ej testad</x:v>
      </x:c>
      <x:c r="J173"/>
      <x:c r="K173"/>
      <x:c r="L173"/>
      <x:c r="M173"/>
      <x:c r="N173" t="str">
        <x:f>IF(COUNT(J173:M173)=0,"",SUM(J173:M173))</x:f>
      </x:c>
      <x:c r="O173" t="str"/>
      <x:c r="P173" t="str"/>
      <x:c r="Q173" t="str"/>
      <x:c r="R173" t="str"/>
    </x:row>
    <x:row r="174">
      <x:c r="A174" t="str">
        <x:v>GQ-173</x:v>
      </x:c>
      <x:c r="B174" t="str">
        <x:v>Verksamhet</x:v>
      </x:c>
      <x:c r="C174" t="str">
        <x:v>IT, data och AI</x:v>
      </x:c>
      <x:c r="D174" s="8" t="str">
        <x:v>Vilka användare har mer systembehörighet än de behöver?</x:v>
      </x:c>
      <x:c r="E174" t="str">
        <x:v>IT-loggar + kostnadsdata + policy</x:v>
      </x:c>
      <x:c r="F174" t="str">
        <x:v>Intern</x:v>
      </x:c>
      <x:c r="G174" t="str">
        <x:v>Tekniska verktyg + analys</x:v>
      </x:c>
      <x:c r="H174" t="str">
        <x:v>Medel</x:v>
      </x:c>
      <x:c r="I174" t="str">
        <x:v>Ej testad</x:v>
      </x:c>
      <x:c r="J174"/>
      <x:c r="K174"/>
      <x:c r="L174"/>
      <x:c r="M174"/>
      <x:c r="N174" t="str">
        <x:f>IF(COUNT(J174:M174)=0,"",SUM(J174:M174))</x:f>
      </x:c>
      <x:c r="O174" t="str"/>
      <x:c r="P174" t="str"/>
      <x:c r="Q174" t="str"/>
      <x:c r="R174" t="str"/>
    </x:row>
    <x:row r="175">
      <x:c r="A175" t="str">
        <x:v>GQ-174</x:v>
      </x:c>
      <x:c r="B175" t="str">
        <x:v>Verksamhet</x:v>
      </x:c>
      <x:c r="C175" t="str">
        <x:v>IT, data och AI</x:v>
      </x:c>
      <x:c r="D175" s="8" t="str">
        <x:v>Vilka av våra datakällor är mest opålitliga?</x:v>
      </x:c>
      <x:c r="E175" t="str">
        <x:v>IT-loggar + kostnadsdata + policy</x:v>
      </x:c>
      <x:c r="F175" t="str">
        <x:v>Intern</x:v>
      </x:c>
      <x:c r="G175" t="str">
        <x:v>Tekniska verktyg + analys</x:v>
      </x:c>
      <x:c r="H175" t="str">
        <x:v>Medel</x:v>
      </x:c>
      <x:c r="I175" t="str">
        <x:v>Ej testad</x:v>
      </x:c>
      <x:c r="J175"/>
      <x:c r="K175"/>
      <x:c r="L175"/>
      <x:c r="M175"/>
      <x:c r="N175" t="str">
        <x:f>IF(COUNT(J175:M175)=0,"",SUM(J175:M175))</x:f>
      </x:c>
      <x:c r="O175" t="str"/>
      <x:c r="P175" t="str"/>
      <x:c r="Q175" t="str"/>
      <x:c r="R175" t="str"/>
    </x:row>
    <x:row r="176">
      <x:c r="A176" t="str">
        <x:v>GQ-175</x:v>
      </x:c>
      <x:c r="B176" t="str">
        <x:v>Verksamhet</x:v>
      </x:c>
      <x:c r="C176" t="str">
        <x:v>IT, data och AI</x:v>
      </x:c>
      <x:c r="D176" s="8" t="str">
        <x:v>Var lägger personalen mest tid på manuell överföring av data?</x:v>
      </x:c>
      <x:c r="E176" t="str">
        <x:v>IT-loggar + kostnadsdata + policy</x:v>
      </x:c>
      <x:c r="F176" t="str">
        <x:v>Intern</x:v>
      </x:c>
      <x:c r="G176" t="str">
        <x:v>Tekniska verktyg + analys</x:v>
      </x:c>
      <x:c r="H176" t="str">
        <x:v>Medel</x:v>
      </x:c>
      <x:c r="I176" t="str">
        <x:v>Ej testad</x:v>
      </x:c>
      <x:c r="J176"/>
      <x:c r="K176"/>
      <x:c r="L176"/>
      <x:c r="M176"/>
      <x:c r="N176" t="str">
        <x:f>IF(COUNT(J176:M176)=0,"",SUM(J176:M176))</x:f>
      </x:c>
      <x:c r="O176" t="str"/>
      <x:c r="P176" t="str"/>
      <x:c r="Q176" t="str"/>
      <x:c r="R176" t="str"/>
    </x:row>
    <x:row r="177">
      <x:c r="A177" t="str">
        <x:v>GQ-176</x:v>
      </x:c>
      <x:c r="B177" t="str">
        <x:v>Verksamhet</x:v>
      </x:c>
      <x:c r="C177" t="str">
        <x:v>IT, data och AI</x:v>
      </x:c>
      <x:c r="D177" s="8" t="str">
        <x:v>Vilka AI-användningsfall kan ge mätbar nytta inom tre månader?</x:v>
      </x:c>
      <x:c r="E177" t="str">
        <x:v>IT-loggar + kostnadsdata + policy</x:v>
      </x:c>
      <x:c r="F177" t="str">
        <x:v>Intern</x:v>
      </x:c>
      <x:c r="G177" t="str">
        <x:v>Tekniska verktyg + analys</x:v>
      </x:c>
      <x:c r="H177" t="str">
        <x:v>Medel</x:v>
      </x:c>
      <x:c r="I177" t="str">
        <x:v>Ej testad</x:v>
      </x:c>
      <x:c r="J177"/>
      <x:c r="K177"/>
      <x:c r="L177"/>
      <x:c r="M177"/>
      <x:c r="N177" t="str">
        <x:f>IF(COUNT(J177:M177)=0,"",SUM(J177:M177))</x:f>
      </x:c>
      <x:c r="O177" t="str"/>
      <x:c r="P177" t="str"/>
      <x:c r="Q177" t="str"/>
      <x:c r="R177" t="str"/>
    </x:row>
    <x:row r="178">
      <x:c r="A178" t="str">
        <x:v>GQ-177</x:v>
      </x:c>
      <x:c r="B178" t="str">
        <x:v>Verksamhet</x:v>
      </x:c>
      <x:c r="C178" t="str">
        <x:v>IT, data och AI</x:v>
      </x:c>
      <x:c r="D178" s="8" t="str">
        <x:v>Hur mycket spenderar vi på molntjänster och AI-modeller per månad?</x:v>
      </x:c>
      <x:c r="E178" t="str">
        <x:v>IT-loggar + kostnadsdata + policy</x:v>
      </x:c>
      <x:c r="F178" t="str">
        <x:v>Intern</x:v>
      </x:c>
      <x:c r="G178" t="str">
        <x:v>Tekniska verktyg + analys</x:v>
      </x:c>
      <x:c r="H178" t="str">
        <x:v>Medel</x:v>
      </x:c>
      <x:c r="I178" t="str">
        <x:v>Ej testad</x:v>
      </x:c>
      <x:c r="J178"/>
      <x:c r="K178"/>
      <x:c r="L178"/>
      <x:c r="M178"/>
      <x:c r="N178" t="str">
        <x:f>IF(COUNT(J178:M178)=0,"",SUM(J178:M178))</x:f>
      </x:c>
      <x:c r="O178" t="str"/>
      <x:c r="P178" t="str"/>
      <x:c r="Q178" t="str"/>
      <x:c r="R178" t="str"/>
    </x:row>
    <x:row r="179">
      <x:c r="A179" t="str">
        <x:v>GQ-178</x:v>
      </x:c>
      <x:c r="B179" t="str">
        <x:v>Verksamhet</x:v>
      </x:c>
      <x:c r="C179" t="str">
        <x:v>IT, data och AI</x:v>
      </x:c>
      <x:c r="D179" s="8" t="str">
        <x:v>Vilka säkerhetsincidenter behöver ledningen känna till?</x:v>
      </x:c>
      <x:c r="E179" t="str">
        <x:v>IT-loggar + kostnadsdata + policy</x:v>
      </x:c>
      <x:c r="F179" t="str">
        <x:v>Intern</x:v>
      </x:c>
      <x:c r="G179" t="str">
        <x:v>Tekniska verktyg + analys</x:v>
      </x:c>
      <x:c r="H179" t="str">
        <x:v>Medel</x:v>
      </x:c>
      <x:c r="I179" t="str">
        <x:v>Ej testad</x:v>
      </x:c>
      <x:c r="J179"/>
      <x:c r="K179"/>
      <x:c r="L179"/>
      <x:c r="M179"/>
      <x:c r="N179" t="str">
        <x:f>IF(COUNT(J179:M179)=0,"",SUM(J179:M179))</x:f>
      </x:c>
      <x:c r="O179" t="str"/>
      <x:c r="P179" t="str"/>
      <x:c r="Q179" t="str"/>
      <x:c r="R179" t="str"/>
    </x:row>
    <x:row r="180">
      <x:c r="A180" t="str">
        <x:v>GQ-179</x:v>
      </x:c>
      <x:c r="B180" t="str">
        <x:v>Verksamhet</x:v>
      </x:c>
      <x:c r="C180" t="str">
        <x:v>IT, data och AI</x:v>
      </x:c>
      <x:c r="D180" s="8" t="str">
        <x:v>Hur lång tid skulle det ta att återställa vår verksamhet efter ett driftstopp?</x:v>
      </x:c>
      <x:c r="E180" t="str">
        <x:v>IT-loggar + kostnadsdata + policy</x:v>
      </x:c>
      <x:c r="F180" t="str">
        <x:v>Intern</x:v>
      </x:c>
      <x:c r="G180" t="str">
        <x:v>Tekniska verktyg + analys</x:v>
      </x:c>
      <x:c r="H180" t="str">
        <x:v>Medel</x:v>
      </x:c>
      <x:c r="I180" t="str">
        <x:v>Ej testad</x:v>
      </x:c>
      <x:c r="J180"/>
      <x:c r="K180"/>
      <x:c r="L180"/>
      <x:c r="M180"/>
      <x:c r="N180" t="str">
        <x:f>IF(COUNT(J180:M180)=0,"",SUM(J180:M180))</x:f>
      </x:c>
      <x:c r="O180" t="str"/>
      <x:c r="P180" t="str"/>
      <x:c r="Q180" t="str"/>
      <x:c r="R180" t="str"/>
    </x:row>
    <x:row r="181">
      <x:c r="A181" t="str">
        <x:v>GQ-180</x:v>
      </x:c>
      <x:c r="B181" t="str">
        <x:v>Verksamhet</x:v>
      </x:c>
      <x:c r="C181" t="str">
        <x:v>IT, data och AI</x:v>
      </x:c>
      <x:c r="D181" s="8" t="str">
        <x:v>Vilka AI-svar i våra interna system saknar kontrollerbart källstöd?</x:v>
      </x:c>
      <x:c r="E181" t="str">
        <x:v>IT-loggar + kostnadsdata + policy</x:v>
      </x:c>
      <x:c r="F181" t="str">
        <x:v>Intern</x:v>
      </x:c>
      <x:c r="G181" t="str">
        <x:v>Tekniska verktyg + analys</x:v>
      </x:c>
      <x:c r="H181" t="str">
        <x:v>Medel</x:v>
      </x:c>
      <x:c r="I181" t="str">
        <x:v>Ej testad</x:v>
      </x:c>
      <x:c r="J181"/>
      <x:c r="K181"/>
      <x:c r="L181"/>
      <x:c r="M181"/>
      <x:c r="N181" t="str">
        <x:f>IF(COUNT(J181:M181)=0,"",SUM(J181:M181))</x:f>
      </x:c>
      <x:c r="O181" t="str"/>
      <x:c r="P181" t="str"/>
      <x:c r="Q181" t="str"/>
      <x:c r="R181" t="str"/>
    </x:row>
    <x:row r="182">
      <x:c r="A182" t="str">
        <x:v>GQ-181</x:v>
      </x:c>
      <x:c r="B182" t="str">
        <x:v>Risk</x:v>
      </x:c>
      <x:c r="C182" t="str">
        <x:v>Risk och kontinuitet</x:v>
      </x:c>
      <x:c r="D182" s="8" t="str">
        <x:v>Vilka är bolagets fem största risker just nu?</x:v>
      </x:c>
      <x:c r="E182" t="str">
        <x:v>Riskregister + ekonomi + avtal</x:v>
      </x:c>
      <x:c r="F182" t="str">
        <x:v>Intern</x:v>
      </x:c>
      <x:c r="G182" t="str">
        <x:v>Flerstegssyntes</x:v>
      </x:c>
      <x:c r="H182" t="str">
        <x:v>Komplex</x:v>
      </x:c>
      <x:c r="I182" t="str">
        <x:v>Ej testad</x:v>
      </x:c>
      <x:c r="J182"/>
      <x:c r="K182"/>
      <x:c r="L182"/>
      <x:c r="M182"/>
      <x:c r="N182" t="str">
        <x:f>IF(COUNT(J182:M182)=0,"",SUM(J182:M182))</x:f>
      </x:c>
      <x:c r="O182" t="str"/>
      <x:c r="P182" t="str"/>
      <x:c r="Q182" t="str"/>
      <x:c r="R182" t="str"/>
    </x:row>
    <x:row r="183">
      <x:c r="A183" t="str">
        <x:v>GQ-182</x:v>
      </x:c>
      <x:c r="B183" t="str">
        <x:v>Risk</x:v>
      </x:c>
      <x:c r="C183" t="str">
        <x:v>Risk och kontinuitet</x:v>
      </x:c>
      <x:c r="D183" s="8" t="str">
        <x:v>Vad händer med resultat och likviditet om vår största kund lämnar oss?</x:v>
      </x:c>
      <x:c r="E183" t="str">
        <x:v>Riskregister + ekonomi + avtal</x:v>
      </x:c>
      <x:c r="F183" t="str">
        <x:v>Intern</x:v>
      </x:c>
      <x:c r="G183" t="str">
        <x:v>Flerstegssyntes</x:v>
      </x:c>
      <x:c r="H183" t="str">
        <x:v>Komplex</x:v>
      </x:c>
      <x:c r="I183" t="str">
        <x:v>Ej testad</x:v>
      </x:c>
      <x:c r="J183"/>
      <x:c r="K183"/>
      <x:c r="L183"/>
      <x:c r="M183"/>
      <x:c r="N183" t="str">
        <x:f>IF(COUNT(J183:M183)=0,"",SUM(J183:M183))</x:f>
      </x:c>
      <x:c r="O183" t="str"/>
      <x:c r="P183" t="str"/>
      <x:c r="Q183" t="str"/>
      <x:c r="R183" t="str"/>
    </x:row>
    <x:row r="184">
      <x:c r="A184" t="str">
        <x:v>GQ-183</x:v>
      </x:c>
      <x:c r="B184" t="str">
        <x:v>Risk</x:v>
      </x:c>
      <x:c r="C184" t="str">
        <x:v>Risk och kontinuitet</x:v>
      </x:c>
      <x:c r="D184" s="8" t="str">
        <x:v>Vilka risker saknar ansvarig eller beslutad åtgärd?</x:v>
      </x:c>
      <x:c r="E184" t="str">
        <x:v>Riskregister + ekonomi + avtal</x:v>
      </x:c>
      <x:c r="F184" t="str">
        <x:v>Intern</x:v>
      </x:c>
      <x:c r="G184" t="str">
        <x:v>Flerstegssyntes</x:v>
      </x:c>
      <x:c r="H184" t="str">
        <x:v>Komplex</x:v>
      </x:c>
      <x:c r="I184" t="str">
        <x:v>Ej testad</x:v>
      </x:c>
      <x:c r="J184"/>
      <x:c r="K184"/>
      <x:c r="L184"/>
      <x:c r="M184"/>
      <x:c r="N184" t="str">
        <x:f>IF(COUNT(J184:M184)=0,"",SUM(J184:M184))</x:f>
      </x:c>
      <x:c r="O184" t="str"/>
      <x:c r="P184" t="str"/>
      <x:c r="Q184" t="str"/>
      <x:c r="R184" t="str"/>
    </x:row>
    <x:row r="185">
      <x:c r="A185" t="str">
        <x:v>GQ-184</x:v>
      </x:c>
      <x:c r="B185" t="str">
        <x:v>Risk</x:v>
      </x:c>
      <x:c r="C185" t="str">
        <x:v>Risk och kontinuitet</x:v>
      </x:c>
      <x:c r="D185" s="8" t="str">
        <x:v>Hur påverkas vi om en nyckelperson är borta i tre månader?</x:v>
      </x:c>
      <x:c r="E185" t="str">
        <x:v>Riskregister + ekonomi + avtal</x:v>
      </x:c>
      <x:c r="F185" t="str">
        <x:v>Intern</x:v>
      </x:c>
      <x:c r="G185" t="str">
        <x:v>Flerstegssyntes</x:v>
      </x:c>
      <x:c r="H185" t="str">
        <x:v>Komplex</x:v>
      </x:c>
      <x:c r="I185" t="str">
        <x:v>Ej testad</x:v>
      </x:c>
      <x:c r="J185"/>
      <x:c r="K185"/>
      <x:c r="L185"/>
      <x:c r="M185"/>
      <x:c r="N185" t="str">
        <x:f>IF(COUNT(J185:M185)=0,"",SUM(J185:M185))</x:f>
      </x:c>
      <x:c r="O185" t="str"/>
      <x:c r="P185" t="str"/>
      <x:c r="Q185" t="str"/>
      <x:c r="R185" t="str"/>
    </x:row>
    <x:row r="186">
      <x:c r="A186" t="str">
        <x:v>GQ-185</x:v>
      </x:c>
      <x:c r="B186" t="str">
        <x:v>Risk</x:v>
      </x:c>
      <x:c r="C186" t="str">
        <x:v>Risk och kontinuitet</x:v>
      </x:c>
      <x:c r="D186" s="8" t="str">
        <x:v>Vilka försäkringar täcker inte våra viktigaste verksamhetsrisker?</x:v>
      </x:c>
      <x:c r="E186" t="str">
        <x:v>Riskregister + ekonomi + avtal</x:v>
      </x:c>
      <x:c r="F186" t="str">
        <x:v>Intern + extern</x:v>
      </x:c>
      <x:c r="G186" t="str">
        <x:v>Flerstegssyntes</x:v>
      </x:c>
      <x:c r="H186" t="str">
        <x:v>Komplex</x:v>
      </x:c>
      <x:c r="I186" t="str">
        <x:v>Ej testad</x:v>
      </x:c>
      <x:c r="J186"/>
      <x:c r="K186"/>
      <x:c r="L186"/>
      <x:c r="M186"/>
      <x:c r="N186" t="str">
        <x:f>IF(COUNT(J186:M186)=0,"",SUM(J186:M186))</x:f>
      </x:c>
      <x:c r="O186" t="str"/>
      <x:c r="P186" t="str"/>
      <x:c r="Q186" t="str"/>
      <x:c r="R186" t="str"/>
    </x:row>
    <x:row r="187">
      <x:c r="A187" t="str">
        <x:v>GQ-186</x:v>
      </x:c>
      <x:c r="B187" t="str">
        <x:v>Risk</x:v>
      </x:c>
      <x:c r="C187" t="str">
        <x:v>Risk och kontinuitet</x:v>
      </x:c>
      <x:c r="D187" s="8" t="str">
        <x:v>Vilka tecken skulle indikera ett kommande likviditetsproblem?</x:v>
      </x:c>
      <x:c r="E187" t="str">
        <x:v>Riskregister + ekonomi + avtal</x:v>
      </x:c>
      <x:c r="F187" t="str">
        <x:v>Intern</x:v>
      </x:c>
      <x:c r="G187" t="str">
        <x:v>Flerstegssyntes</x:v>
      </x:c>
      <x:c r="H187" t="str">
        <x:v>Komplex</x:v>
      </x:c>
      <x:c r="I187" t="str">
        <x:v>Ej testad</x:v>
      </x:c>
      <x:c r="J187"/>
      <x:c r="K187"/>
      <x:c r="L187"/>
      <x:c r="M187"/>
      <x:c r="N187" t="str">
        <x:f>IF(COUNT(J187:M187)=0,"",SUM(J187:M187))</x:f>
      </x:c>
      <x:c r="O187" t="str"/>
      <x:c r="P187" t="str"/>
      <x:c r="Q187" t="str"/>
      <x:c r="R187" t="str"/>
    </x:row>
    <x:row r="188">
      <x:c r="A188" t="str">
        <x:v>GQ-187</x:v>
      </x:c>
      <x:c r="B188" t="str">
        <x:v>Risk</x:v>
      </x:c>
      <x:c r="C188" t="str">
        <x:v>Risk och kontinuitet</x:v>
      </x:c>
      <x:c r="D188" s="8" t="str">
        <x:v>Hur hanterar vi ett längre avbrott hos vår viktigaste IT-leverantör?</x:v>
      </x:c>
      <x:c r="E188" t="str">
        <x:v>Riskregister + ekonomi + avtal</x:v>
      </x:c>
      <x:c r="F188" t="str">
        <x:v>Intern</x:v>
      </x:c>
      <x:c r="G188" t="str">
        <x:v>Flerstegssyntes</x:v>
      </x:c>
      <x:c r="H188" t="str">
        <x:v>Komplex</x:v>
      </x:c>
      <x:c r="I188" t="str">
        <x:v>Ej testad</x:v>
      </x:c>
      <x:c r="J188"/>
      <x:c r="K188"/>
      <x:c r="L188"/>
      <x:c r="M188"/>
      <x:c r="N188" t="str">
        <x:f>IF(COUNT(J188:M188)=0,"",SUM(J188:M188))</x:f>
      </x:c>
      <x:c r="O188" t="str"/>
      <x:c r="P188" t="str"/>
      <x:c r="Q188" t="str"/>
      <x:c r="R188" t="str"/>
    </x:row>
    <x:row r="189">
      <x:c r="A189" t="str">
        <x:v>GQ-188</x:v>
      </x:c>
      <x:c r="B189" t="str">
        <x:v>Risk</x:v>
      </x:c>
      <x:c r="C189" t="str">
        <x:v>Risk och kontinuitet</x:v>
      </x:c>
      <x:c r="D189" s="8" t="str">
        <x:v>Vilka påståenden i vår riskrapport saknar aktuellt underlag?</x:v>
      </x:c>
      <x:c r="E189" t="str">
        <x:v>Riskregister + ekonomi + avtal</x:v>
      </x:c>
      <x:c r="F189" t="str">
        <x:v>Intern</x:v>
      </x:c>
      <x:c r="G189" t="str">
        <x:v>Flerstegssyntes</x:v>
      </x:c>
      <x:c r="H189" t="str">
        <x:v>Komplex</x:v>
      </x:c>
      <x:c r="I189" t="str">
        <x:v>Ej testad</x:v>
      </x:c>
      <x:c r="J189"/>
      <x:c r="K189"/>
      <x:c r="L189"/>
      <x:c r="M189"/>
      <x:c r="N189" t="str">
        <x:f>IF(COUNT(J189:M189)=0,"",SUM(J189:M189))</x:f>
      </x:c>
      <x:c r="O189" t="str"/>
      <x:c r="P189" t="str"/>
      <x:c r="Q189" t="str"/>
      <x:c r="R189" t="str"/>
    </x:row>
    <x:row r="190">
      <x:c r="A190" t="str">
        <x:v>GQ-189</x:v>
      </x:c>
      <x:c r="B190" t="str">
        <x:v>Risk</x:v>
      </x:c>
      <x:c r="C190" t="str">
        <x:v>Risk och kontinuitet</x:v>
      </x:c>
      <x:c r="D190" s="8" t="str">
        <x:v>Vilka leverantörs- och kundrisker är korrelerade med varandra?</x:v>
      </x:c>
      <x:c r="E190" t="str">
        <x:v>Riskregister + ekonomi + avtal</x:v>
      </x:c>
      <x:c r="F190" t="str">
        <x:v>Intern</x:v>
      </x:c>
      <x:c r="G190" t="str">
        <x:v>Flerstegssyntes</x:v>
      </x:c>
      <x:c r="H190" t="str">
        <x:v>Komplex</x:v>
      </x:c>
      <x:c r="I190" t="str">
        <x:v>Ej testad</x:v>
      </x:c>
      <x:c r="J190"/>
      <x:c r="K190"/>
      <x:c r="L190"/>
      <x:c r="M190"/>
      <x:c r="N190" t="str">
        <x:f>IF(COUNT(J190:M190)=0,"",SUM(J190:M190))</x:f>
      </x:c>
      <x:c r="O190" t="str"/>
      <x:c r="P190" t="str"/>
      <x:c r="Q190" t="str"/>
      <x:c r="R190" t="str"/>
    </x:row>
    <x:row r="191">
      <x:c r="A191" t="str">
        <x:v>GQ-190</x:v>
      </x:c>
      <x:c r="B191" t="str">
        <x:v>Risk</x:v>
      </x:c>
      <x:c r="C191" t="str">
        <x:v>Risk och kontinuitet</x:v>
      </x:c>
      <x:c r="D191" s="8" t="str">
        <x:v>Vilka riskreducerande åtgärder har bäst effekt per investerad krona?</x:v>
      </x:c>
      <x:c r="E191" t="str">
        <x:v>Riskregister + ekonomi + avtal</x:v>
      </x:c>
      <x:c r="F191" t="str">
        <x:v>Intern</x:v>
      </x:c>
      <x:c r="G191" t="str">
        <x:v>Flerstegssyntes</x:v>
      </x:c>
      <x:c r="H191" t="str">
        <x:v>Komplex</x:v>
      </x:c>
      <x:c r="I191" t="str">
        <x:v>Ej testad</x:v>
      </x:c>
      <x:c r="J191"/>
      <x:c r="K191"/>
      <x:c r="L191"/>
      <x:c r="M191"/>
      <x:c r="N191" t="str">
        <x:f>IF(COUNT(J191:M191)=0,"",SUM(J191:M191))</x:f>
      </x:c>
      <x:c r="O191" t="str"/>
      <x:c r="P191" t="str"/>
      <x:c r="Q191" t="str"/>
      <x:c r="R191" t="str"/>
    </x:row>
    <x:row r="192">
      <x:c r="A192" t="str">
        <x:v>GQ-191</x:v>
      </x:c>
      <x:c r="B192" t="str">
        <x:v>VD-beslut</x:v>
      </x:c>
      <x:c r="C192" t="str">
        <x:v>Tvärfunktionella VD-beslut</x:v>
      </x:c>
      <x:c r="D192" s="8" t="str">
        <x:v>Kan vi anställa fem personer om två stora kundavtal inte förlängs?</x:v>
      </x:c>
      <x:c r="E192" t="str">
        <x:v>Ekonomi + avtal + CRM + HR</x:v>
      </x:c>
      <x:c r="F192" t="str">
        <x:v>Intern</x:v>
      </x:c>
      <x:c r="G192" t="str">
        <x:v>Agentorkestrering + syntes</x:v>
      </x:c>
      <x:c r="H192" t="str">
        <x:v>Komplex</x:v>
      </x:c>
      <x:c r="I192" t="str">
        <x:v>Ej testad</x:v>
      </x:c>
      <x:c r="J192"/>
      <x:c r="K192"/>
      <x:c r="L192"/>
      <x:c r="M192"/>
      <x:c r="N192" t="str">
        <x:f>IF(COUNT(J192:M192)=0,"",SUM(J192:M192))</x:f>
      </x:c>
      <x:c r="O192" t="str"/>
      <x:c r="P192" t="str"/>
      <x:c r="Q192" t="str"/>
      <x:c r="R192" t="str"/>
    </x:row>
    <x:row r="193">
      <x:c r="A193" t="str">
        <x:v>GQ-192</x:v>
      </x:c>
      <x:c r="B193" t="str">
        <x:v>VD-beslut</x:v>
      </x:c>
      <x:c r="C193" t="str">
        <x:v>Tvärfunktionella VD-beslut</x:v>
      </x:c>
      <x:c r="D193" s="8" t="str">
        <x:v>Vilka avtal, kundrelationer och projekt påverkas av en föreslagen prisökning?</x:v>
      </x:c>
      <x:c r="E193" t="str">
        <x:v>Ekonomi + avtal + CRM + HR</x:v>
      </x:c>
      <x:c r="F193" t="str">
        <x:v>Intern</x:v>
      </x:c>
      <x:c r="G193" t="str">
        <x:v>Agentorkestrering + syntes</x:v>
      </x:c>
      <x:c r="H193" t="str">
        <x:v>Komplex</x:v>
      </x:c>
      <x:c r="I193" t="str">
        <x:v>Ej testad</x:v>
      </x:c>
      <x:c r="J193"/>
      <x:c r="K193"/>
      <x:c r="L193"/>
      <x:c r="M193"/>
      <x:c r="N193" t="str">
        <x:f>IF(COUNT(J193:M193)=0,"",SUM(J193:M193))</x:f>
      </x:c>
      <x:c r="O193" t="str"/>
      <x:c r="P193" t="str"/>
      <x:c r="Q193" t="str"/>
      <x:c r="R193" t="str"/>
    </x:row>
    <x:row r="194">
      <x:c r="A194" t="str">
        <x:v>GQ-193</x:v>
      </x:c>
      <x:c r="B194" t="str">
        <x:v>VD-beslut</x:v>
      </x:c>
      <x:c r="C194" t="str">
        <x:v>Tvärfunktionella VD-beslut</x:v>
      </x:c>
      <x:c r="D194" s="8" t="str">
        <x:v>Vad händer med kassaflöde, beläggning och marginal om vi tappar största uppdraget?</x:v>
      </x:c>
      <x:c r="E194" t="str">
        <x:v>Ekonomi + avtal + CRM + HR</x:v>
      </x:c>
      <x:c r="F194" t="str">
        <x:v>Intern</x:v>
      </x:c>
      <x:c r="G194" t="str">
        <x:v>Agentorkestrering + syntes</x:v>
      </x:c>
      <x:c r="H194" t="str">
        <x:v>Komplex</x:v>
      </x:c>
      <x:c r="I194" t="str">
        <x:v>Ej testad</x:v>
      </x:c>
      <x:c r="J194"/>
      <x:c r="K194"/>
      <x:c r="L194"/>
      <x:c r="M194"/>
      <x:c r="N194" t="str">
        <x:f>IF(COUNT(J194:M194)=0,"",SUM(J194:M194))</x:f>
      </x:c>
      <x:c r="O194" t="str"/>
      <x:c r="P194" t="str"/>
      <x:c r="Q194" t="str"/>
      <x:c r="R194" t="str"/>
    </x:row>
    <x:row r="195">
      <x:c r="A195" t="str">
        <x:v>GQ-194</x:v>
      </x:c>
      <x:c r="B195" t="str">
        <x:v>VD-beslut</x:v>
      </x:c>
      <x:c r="C195" t="str">
        <x:v>Tvärfunktionella VD-beslut</x:v>
      </x:c>
      <x:c r="D195" s="8" t="str">
        <x:v>Bör vi öppna ett nytt kontor utifrån pipeline, kompetenstillgång och kostnader?</x:v>
      </x:c>
      <x:c r="E195" t="str">
        <x:v>Ekonomi + avtal + CRM + HR</x:v>
      </x:c>
      <x:c r="F195" t="str">
        <x:v>Intern</x:v>
      </x:c>
      <x:c r="G195" t="str">
        <x:v>Agentorkestrering + syntes</x:v>
      </x:c>
      <x:c r="H195" t="str">
        <x:v>Komplex</x:v>
      </x:c>
      <x:c r="I195" t="str">
        <x:v>Ej testad</x:v>
      </x:c>
      <x:c r="J195"/>
      <x:c r="K195"/>
      <x:c r="L195"/>
      <x:c r="M195"/>
      <x:c r="N195" t="str">
        <x:f>IF(COUNT(J195:M195)=0,"",SUM(J195:M195))</x:f>
      </x:c>
      <x:c r="O195" t="str"/>
      <x:c r="P195" t="str"/>
      <x:c r="Q195" t="str"/>
      <x:c r="R195" t="str"/>
    </x:row>
    <x:row r="196">
      <x:c r="A196" t="str">
        <x:v>GQ-195</x:v>
      </x:c>
      <x:c r="B196" t="str">
        <x:v>VD-beslut</x:v>
      </x:c>
      <x:c r="C196" t="str">
        <x:v>Tvärfunktionella VD-beslut</x:v>
      </x:c>
      <x:c r="D196" s="8" t="str">
        <x:v>Vilka beslut behöver jag fatta den här veckan och vilket underlag saknas?</x:v>
      </x:c>
      <x:c r="E196" t="str">
        <x:v>Ekonomi + avtal + CRM + HR</x:v>
      </x:c>
      <x:c r="F196" t="str">
        <x:v>Intern</x:v>
      </x:c>
      <x:c r="G196" t="str">
        <x:v>Agentorkestrering + syntes</x:v>
      </x:c>
      <x:c r="H196" t="str">
        <x:v>Komplex</x:v>
      </x:c>
      <x:c r="I196" t="str">
        <x:v>Ej testad</x:v>
      </x:c>
      <x:c r="J196"/>
      <x:c r="K196"/>
      <x:c r="L196"/>
      <x:c r="M196"/>
      <x:c r="N196" t="str">
        <x:f>IF(COUNT(J196:M196)=0,"",SUM(J196:M196))</x:f>
      </x:c>
      <x:c r="O196" t="str"/>
      <x:c r="P196" t="str"/>
      <x:c r="Q196" t="str"/>
      <x:c r="R196" t="str"/>
    </x:row>
    <x:row r="197">
      <x:c r="A197" t="str">
        <x:v>GQ-196</x:v>
      </x:c>
      <x:c r="B197" t="str">
        <x:v>VD-beslut</x:v>
      </x:c>
      <x:c r="C197" t="str">
        <x:v>Tvärfunktionella VD-beslut</x:v>
      </x:c>
      <x:c r="D197" s="8" t="str">
        <x:v>Kan vi minska kostnaderna med tio procent utan att bryta avtal eller försämra leveransen?</x:v>
      </x:c>
      <x:c r="E197" t="str">
        <x:v>Ekonomi + avtal + CRM + HR</x:v>
      </x:c>
      <x:c r="F197" t="str">
        <x:v>Intern</x:v>
      </x:c>
      <x:c r="G197" t="str">
        <x:v>Agentorkestrering + syntes</x:v>
      </x:c>
      <x:c r="H197" t="str">
        <x:v>Komplex</x:v>
      </x:c>
      <x:c r="I197" t="str">
        <x:v>Ej testad</x:v>
      </x:c>
      <x:c r="J197"/>
      <x:c r="K197"/>
      <x:c r="L197"/>
      <x:c r="M197"/>
      <x:c r="N197" t="str">
        <x:f>IF(COUNT(J197:M197)=0,"",SUM(J197:M197))</x:f>
      </x:c>
      <x:c r="O197" t="str"/>
      <x:c r="P197" t="str"/>
      <x:c r="Q197" t="str"/>
      <x:c r="R197" t="str"/>
    </x:row>
    <x:row r="198">
      <x:c r="A198" t="str">
        <x:v>GQ-197</x:v>
      </x:c>
      <x:c r="B198" t="str">
        <x:v>VD-beslut</x:v>
      </x:c>
      <x:c r="C198" t="str">
        <x:v>Tvärfunktionella VD-beslut</x:v>
      </x:c>
      <x:c r="D198" s="8" t="str">
        <x:v>Är det bättre att rekrytera, använda underkonsulter eller tacka nej till nya affärer?</x:v>
      </x:c>
      <x:c r="E198" t="str">
        <x:v>Ekonomi + avtal + CRM + HR</x:v>
      </x:c>
      <x:c r="F198" t="str">
        <x:v>Intern</x:v>
      </x:c>
      <x:c r="G198" t="str">
        <x:v>Agentorkestrering + syntes</x:v>
      </x:c>
      <x:c r="H198" t="str">
        <x:v>Komplex</x:v>
      </x:c>
      <x:c r="I198" t="str">
        <x:v>Ej testad</x:v>
      </x:c>
      <x:c r="J198"/>
      <x:c r="K198"/>
      <x:c r="L198"/>
      <x:c r="M198"/>
      <x:c r="N198" t="str">
        <x:f>IF(COUNT(J198:M198)=0,"",SUM(J198:M198))</x:f>
      </x:c>
      <x:c r="O198" t="str"/>
      <x:c r="P198" t="str"/>
      <x:c r="Q198" t="str"/>
      <x:c r="R198" t="str"/>
    </x:row>
    <x:row r="199">
      <x:c r="A199" t="str">
        <x:v>GQ-198</x:v>
      </x:c>
      <x:c r="B199" t="str">
        <x:v>VD-beslut</x:v>
      </x:c>
      <x:c r="C199" t="str">
        <x:v>Tvärfunktionella VD-beslut</x:v>
      </x:c>
      <x:c r="D199" s="8" t="str">
        <x:v>Vilka motsägelser finns mellan vår budget, ledningsrapport och säljpipeline?</x:v>
      </x:c>
      <x:c r="E199" t="str">
        <x:v>Ekonomi + avtal + CRM + HR</x:v>
      </x:c>
      <x:c r="F199" t="str">
        <x:v>Intern</x:v>
      </x:c>
      <x:c r="G199" t="str">
        <x:v>Agentorkestrering + syntes</x:v>
      </x:c>
      <x:c r="H199" t="str">
        <x:v>Komplex</x:v>
      </x:c>
      <x:c r="I199" t="str">
        <x:v>Ej testad</x:v>
      </x:c>
      <x:c r="J199"/>
      <x:c r="K199"/>
      <x:c r="L199"/>
      <x:c r="M199"/>
      <x:c r="N199" t="str">
        <x:f>IF(COUNT(J199:M199)=0,"",SUM(J199:M199))</x:f>
      </x:c>
      <x:c r="O199" t="str"/>
      <x:c r="P199" t="str"/>
      <x:c r="Q199" t="str"/>
      <x:c r="R199" t="str"/>
    </x:row>
    <x:row r="200">
      <x:c r="A200" t="str">
        <x:v>GQ-199</x:v>
      </x:c>
      <x:c r="B200" t="str">
        <x:v>VD-beslut</x:v>
      </x:c>
      <x:c r="C200" t="str">
        <x:v>Tvärfunktionella VD-beslut</x:v>
      </x:c>
      <x:c r="D200" s="8" t="str">
        <x:v>Vad behöver styrelsen veta om våra största affärsrisker och vilka källor stödjer slutsatsen?</x:v>
      </x:c>
      <x:c r="E200" t="str">
        <x:v>Ekonomi + avtal + CRM + HR</x:v>
      </x:c>
      <x:c r="F200" t="str">
        <x:v>Intern</x:v>
      </x:c>
      <x:c r="G200" t="str">
        <x:v>Agentorkestrering + syntes</x:v>
      </x:c>
      <x:c r="H200" t="str">
        <x:v>Komplex</x:v>
      </x:c>
      <x:c r="I200" t="str">
        <x:v>Ej testad</x:v>
      </x:c>
      <x:c r="J200"/>
      <x:c r="K200"/>
      <x:c r="L200"/>
      <x:c r="M200"/>
      <x:c r="N200" t="str">
        <x:f>IF(COUNT(J200:M200)=0,"",SUM(J200:M200))</x:f>
      </x:c>
      <x:c r="O200" t="str"/>
      <x:c r="P200" t="str"/>
      <x:c r="Q200" t="str"/>
      <x:c r="R200" t="str"/>
    </x:row>
    <x:row r="201">
      <x:c r="A201" t="str">
        <x:v>GQ-200</x:v>
      </x:c>
      <x:c r="B201" t="str">
        <x:v>VD-beslut</x:v>
      </x:c>
      <x:c r="C201" t="str">
        <x:v>Tvärfunktionella VD-beslut</x:v>
      </x:c>
      <x:c r="D201" s="8" t="str">
        <x:v>Om du bara fick rekommendera tre beslut inför nästa kvartal, vilka är de och varför?</x:v>
      </x:c>
      <x:c r="E201" t="str">
        <x:v>Ekonomi + avtal + CRM + HR</x:v>
      </x:c>
      <x:c r="F201" t="str">
        <x:v>Intern</x:v>
      </x:c>
      <x:c r="G201" t="str">
        <x:v>Agentorkestrering + syntes</x:v>
      </x:c>
      <x:c r="H201" t="str">
        <x:v>Komplex</x:v>
      </x:c>
      <x:c r="I201" t="str">
        <x:v>Ej testad</x:v>
      </x:c>
      <x:c r="J201"/>
      <x:c r="K201"/>
      <x:c r="L201"/>
      <x:c r="M201"/>
      <x:c r="N201" t="str">
        <x:f>IF(COUNT(J201:M201)=0,"",SUM(J201:M201))</x:f>
      </x:c>
      <x:c r="O201" t="str"/>
      <x:c r="P201" t="str"/>
      <x:c r="Q201" t="str"/>
      <x:c r="R201" t="str"/>
    </x:row>
  </x:sheetData>
  <x:conditionalFormatting sqref="N2:N201">
    <x:cfRule type="dataBar" priority="1">
      <x:dataBar>
        <x:cfvo type="min"/>
        <x:cfvo type="max"/>
        <x:color rgb="FF2C8992"/>
      </x:dataBar>
      <x:extLst>
        <x:ext xmlns:x14="http://schemas.microsoft.com/office/spreadsheetml/2009/9/main" uri="{B025F937-C7B1-47D3-B67F-A62EFF666E3E}">
          <x14:id>{BA7C4B57-CBA0-D217-05EE-B31275148FCF}</x14:id>
        </x:ext>
      </x:extLst>
    </x:cfRule>
  </x:conditionalFormatting>
  <x:dataValidations count="5">
    <x:dataValidation type="list" sqref="I2:I201">
      <x:formula1>"Ej testad,Godkänd,Delvis,Underkänd,Blockerad"</x:formula1>
    </x:dataValidation>
    <x:dataValidation type="list" sqref="J2:J201">
      <x:formula1>"0,1,2"</x:formula1>
    </x:dataValidation>
    <x:dataValidation type="list" sqref="K2:K201">
      <x:formula1>"0,1,2"</x:formula1>
    </x:dataValidation>
    <x:dataValidation type="list" sqref="L2:L201">
      <x:formula1>"0,1,2,3,4"</x:formula1>
    </x:dataValidation>
    <x:dataValidation type="list" sqref="M2:M201">
      <x:formula1>"0,1,2"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8f8e84961544d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A7C4B57-CBA0-D217-05EE-B31275148FCF}">
            <x14:dataBar gradient="1">
              <x14:cfvo type="min"/>
              <x14:cfvo type="max"/>
              <x14:fillColor rgb="FF2C8992"/>
            </x14:dataBar>
          </x14:cfRule>
          <xm:sqref>N2:N201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32" customHeight="1">
      <x:c r="A1" s="3" t="str">
        <x:v>Dimension</x:v>
      </x:c>
      <x:c r="B1" s="3" t="str">
        <x:v>0 poäng</x:v>
      </x:c>
      <x:c r="C1" s="3" t="str">
        <x:v>1 poäng</x:v>
      </x:c>
      <x:c r="D1" s="3" t="str">
        <x:v>2 poäng</x:v>
      </x:c>
      <x:c r="E1" s="3" t="str">
        <x:v>3 poäng</x:v>
      </x:c>
      <x:c r="F1" s="3" t="str">
        <x:v>4 poäng</x:v>
      </x:c>
    </x:row>
    <x:row r="2">
      <x:c r="A2" s="8" t="str">
        <x:v>Datatäckning</x:v>
      </x:c>
      <x:c r="B2" s="8" t="str">
        <x:v>Nödvändiga uppgifter saknas</x:v>
      </x:c>
      <x:c r="C2" s="8" t="str">
        <x:v>Delar av materialet tillgängligt</x:v>
      </x:c>
      <x:c r="D2" s="8" t="str">
        <x:v>Tillräckliga uppgifter tillgängliga</x:v>
      </x:c>
      <x:c r="E2" s="8" t="str"/>
      <x:c r="F2" s="8" t="str"/>
    </x:row>
    <x:row r="3">
      <x:c r="A3" s="8" t="str">
        <x:v>Verktygstäckning</x:v>
      </x:c>
      <x:c r="B3" s="8" t="str">
        <x:v>Saknar nödvändiga verktyg</x:v>
      </x:c>
      <x:c r="C3" s="8" t="str">
        <x:v>Kan utföra delar av kedjan</x:v>
      </x:c>
      <x:c r="D3" s="8" t="str">
        <x:v>Kan genomföra hela kedjan</x:v>
      </x:c>
      <x:c r="E3" s="8" t="str"/>
      <x:c r="F3" s="8" t="str"/>
    </x:row>
    <x:row r="4">
      <x:c r="A4" s="8" t="str">
        <x:v>Svarskvalitet</x:v>
      </x:c>
      <x:c r="B4" s="8" t="str">
        <x:v>Felaktigt eller missvisande</x:v>
      </x:c>
      <x:c r="C4" s="8" t="str">
        <x:v>Stora luckor</x:v>
      </x:c>
      <x:c r="D4" s="8" t="str">
        <x:v>Delvis rätt, men väsentliga brister</x:v>
      </x:c>
      <x:c r="E4" s="8" t="str">
        <x:v>Rätt med små brister</x:v>
      </x:c>
      <x:c r="F4" s="8" t="str">
        <x:v>Korrekt, komplett, relevant</x:v>
      </x:c>
    </x:row>
    <x:row r="5">
      <x:c r="A5" s="8" t="str">
        <x:v>Källstöd</x:v>
      </x:c>
      <x:c r="B5" s="8" t="str">
        <x:v>Saknas eller felaktigt</x:v>
      </x:c>
      <x:c r="C5" s="8" t="str">
        <x:v>Delvis korrekt och lokaliserbart</x:v>
      </x:c>
      <x:c r="D5" s="8" t="str">
        <x:v>Källor stödjer alla väsentliga påståenden</x:v>
      </x:c>
      <x:c r="E5" s="8" t="str"/>
      <x:c r="F5" s="8" t="str"/>
    </x:row>
    <x:row r="6">
      <x:c r="A6" s="8" t="str">
        <x:v>Status</x:v>
      </x:c>
      <x:c r="B6" s="8" t="str">
        <x:v>Ej testad</x:v>
      </x:c>
      <x:c r="C6" s="8" t="str">
        <x:v>Godkänd</x:v>
      </x:c>
      <x:c r="D6" s="8" t="str">
        <x:v>Delvis</x:v>
      </x:c>
      <x:c r="E6" s="8" t="str">
        <x:v>Underkänd</x:v>
      </x:c>
      <x:c r="F6" s="8" t="str">
        <x:v>Blockerad</x:v>
      </x:c>
    </x:row>
    <x:row r="7">
      <x:c r="A7" s="8" t="str">
        <x:v>Feltyper</x:v>
      </x:c>
      <x:c r="B7" s="8" t="str">
        <x:v>Saknad data</x:v>
      </x:c>
      <x:c r="C7" s="8" t="str">
        <x:v>Saknad integration/verktyg</x:v>
      </x:c>
      <x:c r="D7" s="8" t="str">
        <x:v>Retrievalmiss</x:v>
      </x:c>
      <x:c r="E7" s="8" t="str">
        <x:v>Resonemang eller beräkning</x:v>
      </x:c>
      <x:c r="F7" s="8" t="str">
        <x:v>Felaktigt källstöd</x:v>
      </x:c>
    </x:row>
    <x:row r="8">
      <x:c r="A8" s="8" t="str">
        <x:v>Godkänd</x:v>
      </x:c>
      <x:c r="B8" s="8" t="str">
        <x:v>Minst 8 av 10</x:v>
      </x:c>
      <x:c r="C8" s="8" t="str">
        <x:v>Inga kritiska faktamissar</x:v>
      </x:c>
      <x:c r="D8" s="8" t="str">
        <x:v>Källstöd minst 1 av 2</x:v>
      </x:c>
      <x:c r="E8" s="8" t="str">
        <x:v>Ej rätt gissning utan underlag</x:v>
      </x:c>
      <x:c r="F8" s="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>
      <x:c r="A1" s="3" t="str">
        <x:v>Körnings-ID</x:v>
      </x:c>
      <x:c r="B1" s="3" t="str">
        <x:v>Datum</x:v>
      </x:c>
      <x:c r="C1" s="3" t="str">
        <x:v>Socialism-version</x:v>
      </x:c>
      <x:c r="D1" s="3" t="str">
        <x:v>Datasetversion</x:v>
      </x:c>
      <x:c r="E1" s="3" t="str">
        <x:v>Antal frågor</x:v>
      </x:c>
      <x:c r="F1" s="3" t="str">
        <x:v>Godkända</x:v>
      </x:c>
      <x:c r="G1" s="3" t="str">
        <x:v>Täckning</x:v>
      </x:c>
      <x:c r="H1" s="3" t="str">
        <x:v>Median svarstid (s)</x:v>
      </x:c>
      <x:c r="I1" s="3" t="str">
        <x:v>Kommentar</x:v>
      </x:c>
    </x:row>
  </x:sheetData>
  <x:pageMargins left="0.7" right="0.7" top="0.75" bottom="0.75" header="0.3" footer="0.3"/>
</x:worksheet>
</file>